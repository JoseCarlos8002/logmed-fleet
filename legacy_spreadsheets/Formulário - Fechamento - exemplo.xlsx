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so\Desktop\"/>
    </mc:Choice>
  </mc:AlternateContent>
  <xr:revisionPtr revIDLastSave="0" documentId="8_{B2BACE80-D166-4775-BF15-AEFBD73D4D5E}" xr6:coauthVersionLast="47" xr6:coauthVersionMax="47" xr10:uidLastSave="{00000000-0000-0000-0000-000000000000}"/>
  <bookViews>
    <workbookView xWindow="-120" yWindow="-120" windowWidth="20640" windowHeight="11160" firstSheet="2" activeTab="2" xr2:uid="{00000000-000D-0000-FFFF-FFFF00000000}"/>
  </bookViews>
  <sheets>
    <sheet name="BASE" sheetId="8" r:id="rId1"/>
    <sheet name="Plan1" sheetId="7" r:id="rId2"/>
    <sheet name="Ficha de Solicitação" sheetId="2" r:id="rId3"/>
    <sheet name="CADASTRO" sheetId="4" r:id="rId4"/>
    <sheet name="VALOR FECHAMENTO" sheetId="9" r:id="rId5"/>
  </sheets>
  <definedNames>
    <definedName name="_xlnm._FilterDatabase" localSheetId="3" hidden="1">CADASTRO!$A$1:$C$1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7" l="1"/>
  <c r="F9" i="7"/>
  <c r="F10" i="7"/>
  <c r="F11" i="7"/>
  <c r="F12" i="7"/>
  <c r="F13" i="7"/>
  <c r="F14" i="7"/>
  <c r="F15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9" i="7"/>
  <c r="F8" i="7"/>
  <c r="B15" i="9"/>
  <c r="D17" i="2" l="1"/>
  <c r="D19" i="2" s="1"/>
  <c r="G26" i="2"/>
  <c r="E24" i="2" l="1"/>
  <c r="A8" i="7"/>
  <c r="G28" i="2" s="1"/>
  <c r="G30" i="2" s="1"/>
  <c r="D18" i="2"/>
  <c r="F23" i="2"/>
</calcChain>
</file>

<file path=xl/sharedStrings.xml><?xml version="1.0" encoding="utf-8"?>
<sst xmlns="http://schemas.openxmlformats.org/spreadsheetml/2006/main" count="173" uniqueCount="126">
  <si>
    <t>HOMERO DA SILVEIRA</t>
  </si>
  <si>
    <t>EHR3D61</t>
  </si>
  <si>
    <t>N</t>
  </si>
  <si>
    <t>I</t>
  </si>
  <si>
    <t>:</t>
  </si>
  <si>
    <t>ARACATUBA/LINS</t>
  </si>
  <si>
    <t>A</t>
  </si>
  <si>
    <t>HOMERO DA SILVEIRA 08164368865</t>
  </si>
  <si>
    <t>LOGMED RIBEIRAO PRETO</t>
  </si>
  <si>
    <t>RIAADE SUPRIMENTOS MEDICOS LTDA, UNIMED ARACATUBA COOP. DE, JOHNSON &amp; JOHNSON DO BRASIL INDUSTRIA E COMERCIO D, UNIMED DE LINS COOPERATIVA DE TRABALHO MEDICO, UNIMED DE BIRIGUI COOPERATIVA DE TRABALHO MEDICO, SAUDE HOME CARE</t>
  </si>
  <si>
    <t>Agregado</t>
  </si>
  <si>
    <t>TATIANA BUENO SILVÉR</t>
  </si>
  <si>
    <t>THOMPSON SANTOS DE S</t>
  </si>
  <si>
    <t>GUARULHOS/CAMPINAS/RIBEIRAO PRETO</t>
  </si>
  <si>
    <t>LINS/PIRAJUI/ARACATUBA</t>
  </si>
  <si>
    <t>R GONCALVES, PROMEDON DO BRASIL PRODUTOS MEDICOS HOSP LTDA, RIAADE SUPRIMENTOS MEDICOS LTDA, ZENTYS MEDICAL, UNIMED ARACATUBA COOP. DE, JOHNSON &amp; JOHNSON DO BRASIL INDUSTRIA E COMERCIO D, DICA DIAGNOSTICA</t>
  </si>
  <si>
    <t>SAO JOSE DOS CAMPOS/INDAIATUBA/ATIBAIA/GUARULHOS/RIBEIRAO PR</t>
  </si>
  <si>
    <t>LENCOIS PAULISTA/BAURU/JAU</t>
  </si>
  <si>
    <t>R GONCALVES, RIAADE SUPRIMENTOS MEDICOS LTDA, UNIMED BAURU COOPERAT DE TRABALHO MEDICO, ZENTYS MEDICAL, SMITH   NEPHEW COMERCIO DE PRODUTOS MEDICOS LTDA., JOHNSON &amp; JOHNSON DO BRASIL INDUSTRIA E COMERCIO D, HANDLE COMERCIO DE EQUIPAMENTOS MED LTDA, LIFEMED INDUSTRIAL DE EQUIPAMENTOS E ARTIGOS MEDIC</t>
  </si>
  <si>
    <t>LUIZ EDUARDO DA SILV</t>
  </si>
  <si>
    <t>GUARULHOS/SAO JOSE DOS CAMPOS/RIBEIRAO PRETO/PORTO ALEGRE/IN</t>
  </si>
  <si>
    <t>MOTORISTA</t>
  </si>
  <si>
    <t>ELAINE MARIA JULIO</t>
  </si>
  <si>
    <t>VALOR RECEBIDO PELO FRETE</t>
  </si>
  <si>
    <t xml:space="preserve">VALOR DA NOTA DO MOTORISTA:       </t>
  </si>
  <si>
    <t>MANIFESTO</t>
  </si>
  <si>
    <t>FORMULÁRIO PARA SOLICITAÇÃO DE TRANSPORTES</t>
  </si>
  <si>
    <t>ORIGEM:</t>
  </si>
  <si>
    <t>RIBEIRÃO PRETO</t>
  </si>
  <si>
    <t>DESTINO:</t>
  </si>
  <si>
    <t>DIVERSOS</t>
  </si>
  <si>
    <t xml:space="preserve"> </t>
  </si>
  <si>
    <t>DATAS ESTIMADAS</t>
  </si>
  <si>
    <t>PREVISÃO DE SAÍDA:</t>
  </si>
  <si>
    <t>HORA:</t>
  </si>
  <si>
    <t>PREVISÃO DE RETORNO:</t>
  </si>
  <si>
    <t>TIPO VEICULO:</t>
  </si>
  <si>
    <t xml:space="preserve">(X) FIORINO  </t>
  </si>
  <si>
    <t xml:space="preserve">   () VAN </t>
  </si>
  <si>
    <t xml:space="preserve">() 3/4               </t>
  </si>
  <si>
    <t xml:space="preserve">    () TOCO </t>
  </si>
  <si>
    <t xml:space="preserve"> () TRUCK</t>
  </si>
  <si>
    <t>( ) VAN</t>
  </si>
  <si>
    <t xml:space="preserve"> () MOTOBOY</t>
  </si>
  <si>
    <t>() DOBLO</t>
  </si>
  <si>
    <t>DADOS PRESTADOR / AGREGADO</t>
  </si>
  <si>
    <t/>
  </si>
  <si>
    <t>NOME DO MOTORISTA:</t>
  </si>
  <si>
    <t>PLACA DO VEÍCULO:</t>
  </si>
  <si>
    <t>CNPJ/CPF:</t>
  </si>
  <si>
    <t>JUSTIFICATIVA DA SOLICITAÇÃO:</t>
  </si>
  <si>
    <t>MOTORISTA:</t>
  </si>
  <si>
    <t>MANIFESTO:</t>
  </si>
  <si>
    <t xml:space="preserve">VALOR PAGO PELO FRETE:       </t>
  </si>
  <si>
    <t>PORCENTAGEM GANHO FRETE</t>
  </si>
  <si>
    <t>DATA ENVIO DOCUMENTAÇÃO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</si>
  <si>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</si>
  <si>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DATA PREVISTA PARA O PAGAMENTO </t>
  </si>
  <si>
    <t>GRAU DE APROVAÇÃO</t>
  </si>
  <si>
    <t>(  ) C.O.L</t>
  </si>
  <si>
    <t>( ) Coordenador</t>
  </si>
  <si>
    <t>() Gerente</t>
  </si>
  <si>
    <t>() Diretor</t>
  </si>
  <si>
    <t>Até R$500,00</t>
  </si>
  <si>
    <t xml:space="preserve">   Até R$2.000,00</t>
  </si>
  <si>
    <t>Até R$10.000,00</t>
  </si>
  <si>
    <t>Acima de R$10.000,00</t>
  </si>
  <si>
    <t>(X) APROVADO</t>
  </si>
  <si>
    <t xml:space="preserve">              (  ) REPROVADO</t>
  </si>
  <si>
    <t>JOSÉ CARLOS</t>
  </si>
  <si>
    <t>CLAUDINEI OLIVEIRA</t>
  </si>
  <si>
    <t>NOME</t>
  </si>
  <si>
    <t>CNPJ</t>
  </si>
  <si>
    <t>PLACA</t>
  </si>
  <si>
    <t>AJGP TRANSPORTES</t>
  </si>
  <si>
    <t>SVU4F18</t>
  </si>
  <si>
    <t>ALTAIR DE SOUZA LIMA</t>
  </si>
  <si>
    <t>GFD5E70</t>
  </si>
  <si>
    <t>CARLOS ALBERTO MISSIMA JR</t>
  </si>
  <si>
    <t>PZG-5430</t>
  </si>
  <si>
    <t>CRISTIANO ALVES DE MENEZES</t>
  </si>
  <si>
    <t>GHV2C70</t>
  </si>
  <si>
    <t>MATHEUS ANDRE FREGONESI</t>
  </si>
  <si>
    <t>49.139.290/0001-48</t>
  </si>
  <si>
    <t>FRW7H86</t>
  </si>
  <si>
    <t>LUIZ EDUARDO DE SOUZA DA SILVA</t>
  </si>
  <si>
    <t>51.202.823/0001-30</t>
  </si>
  <si>
    <t>EPS9H66</t>
  </si>
  <si>
    <t>LUIS FERNANDO GOMES CORREA</t>
  </si>
  <si>
    <t>42.664.247/0001-52</t>
  </si>
  <si>
    <t>GCI2C67</t>
  </si>
  <si>
    <t>ROGERIO TAVARES NOBREGA DE MORAES</t>
  </si>
  <si>
    <t>53.996.225/0001-06</t>
  </si>
  <si>
    <t>GFA-4C45</t>
  </si>
  <si>
    <t>MARIA DE LOURDES DA SILVA</t>
  </si>
  <si>
    <t>52.184.960/0001-52</t>
  </si>
  <si>
    <t>FTH3R33</t>
  </si>
  <si>
    <t>LATINS TRANSPORTES</t>
  </si>
  <si>
    <t>50.062.976/0001-67</t>
  </si>
  <si>
    <t>FFM0C55</t>
  </si>
  <si>
    <t>ILSON JOSE DEL MASQUIO JUNIOR</t>
  </si>
  <si>
    <t>48.029.224/0001-52</t>
  </si>
  <si>
    <t>QUY9G24</t>
  </si>
  <si>
    <t>LEANDRO MARCELO TRIVILIN</t>
  </si>
  <si>
    <t>55.474.459/0001-19</t>
  </si>
  <si>
    <t>RTB0G57</t>
  </si>
  <si>
    <t>55.319.804/0001-40</t>
  </si>
  <si>
    <t>FKI8E23</t>
  </si>
  <si>
    <t>EURIPEDES RODRIGUES DA SILVA</t>
  </si>
  <si>
    <t>54.782.422/0001-95</t>
  </si>
  <si>
    <t>GFI0H89</t>
  </si>
  <si>
    <t>MARCELO HENRIQUE LONGO</t>
  </si>
  <si>
    <t>44.661.781/0001-30</t>
  </si>
  <si>
    <t>EVJ3E53</t>
  </si>
  <si>
    <t>ADINELIS BARBOSA ANDRE</t>
  </si>
  <si>
    <t>37.734.042/0001-66</t>
  </si>
  <si>
    <t>FJX6697</t>
  </si>
  <si>
    <t>PEDRO VICTOR MIRANDOLA CASTELEIRA</t>
  </si>
  <si>
    <t>55.942.319/0001-28</t>
  </si>
  <si>
    <t>GFJ8E81</t>
  </si>
  <si>
    <t>Soma de FRETE PAGO</t>
  </si>
  <si>
    <t>CARLOS ALBERTO MISSIMA JUNIOR</t>
  </si>
  <si>
    <t>EURIPEDES SILVA</t>
  </si>
  <si>
    <t>LEANDRO TRIVILIN</t>
  </si>
  <si>
    <t>LUIS FERNANDO GOMES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</si>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</sst>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#,##0.00;[Red]\-&quot;R$&quot;#,##0.00"/>
    <numFmt numFmtId="165" formatCode="&quot;&quot;00&quot;.&quot;000&quot;.&quot;000&quot;/&quot;0000&quot;-&quot;0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/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/>
      <bottom style="medium">
        <color rgb="FFD4D4D4"/>
      </bottom>
      <diagonal/>
    </border>
    <border>
      <left/>
      <right style="medium">
        <color rgb="FFD4D4D4"/>
      </right>
      <top/>
      <bottom style="medium">
        <color rgb="FFD4D4D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20">
    <xf numFmtId="0" fontId="0" fillId="0" borderId="0" xfId="0"/>
    <xf numFmtId="0" fontId="1" fillId="0" borderId="0" xfId="0" applyFont="1"/>
    <xf numFmtId="0" fontId="1" fillId="0" borderId="9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5" xfId="0" applyFont="1" applyBorder="1"/>
    <xf numFmtId="0" fontId="1" fillId="0" borderId="0" xfId="0" applyFont="1" applyAlignment="1">
      <alignment vertical="center"/>
    </xf>
    <xf numFmtId="0" fontId="1" fillId="0" borderId="4" xfId="0" applyFont="1" applyBorder="1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1" fillId="0" borderId="0" xfId="0" applyNumberFormat="1" applyFont="1" applyAlignment="1">
      <alignment horizontal="center" vertical="center"/>
    </xf>
    <xf numFmtId="20" fontId="1" fillId="0" borderId="0" xfId="0" applyNumberFormat="1" applyFont="1"/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1" fillId="0" borderId="10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right"/>
    </xf>
    <xf numFmtId="14" fontId="1" fillId="2" borderId="10" xfId="0" applyNumberFormat="1" applyFont="1" applyFill="1" applyBorder="1" applyAlignment="1">
      <alignment horizontal="right"/>
    </xf>
    <xf numFmtId="0" fontId="3" fillId="0" borderId="5" xfId="0" applyFont="1" applyBorder="1"/>
    <xf numFmtId="0" fontId="3" fillId="0" borderId="0" xfId="0" applyFont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0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8" xfId="0" applyFont="1" applyBorder="1" applyAlignment="1">
      <alignment horizontal="center"/>
    </xf>
    <xf numFmtId="4" fontId="0" fillId="0" borderId="0" xfId="0" applyNumberFormat="1"/>
    <xf numFmtId="14" fontId="1" fillId="0" borderId="0" xfId="0" applyNumberFormat="1" applyFont="1"/>
    <xf numFmtId="4" fontId="1" fillId="0" borderId="0" xfId="0" applyNumberFormat="1" applyFont="1"/>
    <xf numFmtId="0" fontId="0" fillId="5" borderId="0" xfId="0" applyFill="1"/>
    <xf numFmtId="0" fontId="4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4" fontId="0" fillId="5" borderId="0" xfId="0" applyNumberFormat="1" applyFill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8" xfId="0" applyFont="1" applyBorder="1" applyAlignment="1">
      <alignment vertical="top" wrapText="1"/>
    </xf>
    <xf numFmtId="14" fontId="0" fillId="0" borderId="0" xfId="0" applyNumberFormat="1"/>
    <xf numFmtId="20" fontId="0" fillId="0" borderId="0" xfId="0" applyNumberFormat="1"/>
    <xf numFmtId="3" fontId="0" fillId="0" borderId="0" xfId="0" applyNumberFormat="1"/>
    <xf numFmtId="22" fontId="0" fillId="0" borderId="0" xfId="0" applyNumberFormat="1"/>
    <xf numFmtId="0" fontId="7" fillId="6" borderId="21" xfId="0" applyFont="1" applyFill="1" applyBorder="1" applyAlignment="1">
      <alignment vertical="center" wrapText="1"/>
    </xf>
    <xf numFmtId="44" fontId="7" fillId="6" borderId="22" xfId="1" applyFont="1" applyFill="1" applyBorder="1" applyAlignment="1">
      <alignment horizontal="right" vertical="center" wrapText="1"/>
    </xf>
    <xf numFmtId="0" fontId="7" fillId="0" borderId="21" xfId="0" applyFont="1" applyBorder="1" applyAlignment="1">
      <alignment vertical="center" wrapText="1"/>
    </xf>
    <xf numFmtId="44" fontId="7" fillId="0" borderId="22" xfId="1" applyFont="1" applyFill="1" applyBorder="1" applyAlignment="1">
      <alignment horizontal="right" vertical="center" wrapText="1"/>
    </xf>
    <xf numFmtId="0" fontId="6" fillId="5" borderId="21" xfId="0" applyFont="1" applyFill="1" applyBorder="1" applyAlignment="1">
      <alignment vertical="center" wrapText="1"/>
    </xf>
    <xf numFmtId="44" fontId="6" fillId="5" borderId="22" xfId="1" applyFont="1" applyFill="1" applyBorder="1" applyAlignment="1">
      <alignment horizontal="right" vertical="center" wrapText="1"/>
    </xf>
    <xf numFmtId="0" fontId="6" fillId="5" borderId="19" xfId="0" applyFont="1" applyFill="1" applyBorder="1" applyAlignment="1">
      <alignment horizontal="center" vertical="center" wrapText="1"/>
    </xf>
    <xf numFmtId="44" fontId="6" fillId="5" borderId="20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quotePrefix="1" applyFont="1"/>
    <xf numFmtId="0" fontId="0" fillId="0" borderId="0" xfId="0" applyAlignment="1">
      <alignment wrapText="1"/>
    </xf>
    <xf numFmtId="0" fontId="7" fillId="6" borderId="0" xfId="0" applyFont="1" applyFill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164" fontId="1" fillId="0" borderId="14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0" fontId="1" fillId="0" borderId="0" xfId="0" applyNumberFormat="1" applyFont="1" applyAlignment="1">
      <alignment horizontal="left" vertical="center" wrapText="1"/>
    </xf>
    <xf numFmtId="10" fontId="1" fillId="0" borderId="11" xfId="0" applyNumberFormat="1" applyFont="1" applyBorder="1" applyAlignment="1">
      <alignment horizontal="center" vertical="center" wrapText="1"/>
    </xf>
    <xf numFmtId="10" fontId="1" fillId="0" borderId="12" xfId="0" applyNumberFormat="1" applyFont="1" applyBorder="1" applyAlignment="1">
      <alignment horizontal="center" vertical="center" wrapText="1"/>
    </xf>
    <xf numFmtId="10" fontId="1" fillId="0" borderId="13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 wrapText="1"/>
    </xf>
    <xf numFmtId="164" fontId="1" fillId="0" borderId="13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right" vertical="top" wrapText="1"/>
    </xf>
    <xf numFmtId="0" fontId="1" fillId="0" borderId="2" xfId="0" applyFont="1" applyBorder="1" applyAlignment="1">
      <alignment horizontal="right" vertical="top" wrapText="1"/>
    </xf>
    <xf numFmtId="165" fontId="1" fillId="0" borderId="11" xfId="0" applyNumberFormat="1" applyFont="1" applyBorder="1" applyAlignment="1">
      <alignment horizontal="center"/>
    </xf>
    <xf numFmtId="165" fontId="1" fillId="0" borderId="12" xfId="0" applyNumberFormat="1" applyFont="1" applyBorder="1" applyAlignment="1">
      <alignment horizontal="center"/>
    </xf>
    <xf numFmtId="165" fontId="1" fillId="0" borderId="13" xfId="0" applyNumberFormat="1" applyFont="1" applyBorder="1" applyAlignment="1">
      <alignment horizontal="center"/>
    </xf>
    <xf numFmtId="0" fontId="1" fillId="0" borderId="9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91108</xdr:colOff>
      <xdr:row>0</xdr:row>
      <xdr:rowOff>49697</xdr:rowOff>
    </xdr:from>
    <xdr:to>
      <xdr:col>3</xdr:col>
      <xdr:colOff>126492</xdr:colOff>
      <xdr:row>2</xdr:row>
      <xdr:rowOff>140804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8EA7F44-A688-45DA-A4E6-C6D0BF08B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08" y="49697"/>
          <a:ext cx="1865841" cy="4886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6C1D-149B-47B7-85E1-FFDE61029A35}">
  <dimension ref="A3:CB26"/>
  <sheetViews>
    <sheetView showGridLines="0" workbookViewId="0">
      <selection activeCell="C5" sqref="C5"/>
    </sheetView>
  </sheetViews>
  <sheetFormatPr defaultRowHeight="15" x14ac:dyDescent="0.25"/>
  <cols>
    <col min="2" max="2" width="11.140625" bestFit="1" customWidth="1"/>
    <col min="4" max="4" width="20.28515625" bestFit="1" customWidth="1"/>
    <col min="6" max="6" width="11.7109375" bestFit="1" customWidth="1"/>
    <col min="11" max="11" width="10.5703125" bestFit="1" customWidth="1"/>
    <col min="13" max="13" width="11.140625" bestFit="1" customWidth="1"/>
    <col min="32" max="32" width="12.85546875" bestFit="1" customWidth="1"/>
    <col min="38" max="38" width="28.42578125" bestFit="1" customWidth="1"/>
    <col min="40" max="40" width="10.7109375" bestFit="1" customWidth="1"/>
    <col min="45" max="45" width="32.7109375" bestFit="1" customWidth="1"/>
    <col min="55" max="55" width="23.7109375" bestFit="1" customWidth="1"/>
    <col min="65" max="65" width="36.5703125" bestFit="1" customWidth="1"/>
    <col min="69" max="69" width="21.28515625" bestFit="1" customWidth="1"/>
    <col min="70" max="70" width="16.5703125" bestFit="1" customWidth="1"/>
    <col min="71" max="71" width="23.28515625" bestFit="1" customWidth="1"/>
    <col min="72" max="72" width="16.5703125" bestFit="1" customWidth="1"/>
    <col min="74" max="74" width="12.140625" bestFit="1" customWidth="1"/>
    <col min="75" max="75" width="36.5703125" bestFit="1" customWidth="1"/>
  </cols>
  <sheetData>
    <row r="3" spans="1:80" ht="15.75" customHeight="1" x14ac:dyDescent="0.25"/>
    <row r="4" spans="1:80" ht="29.25" customHeight="1" x14ac:dyDescent="0.25">
      <c r="A4">
        <v>218618</v>
      </c>
      <c r="B4" s="47">
        <v>45722</v>
      </c>
      <c r="C4" s="48">
        <v>0.33333333333333331</v>
      </c>
      <c r="D4" t="s">
        <v>0</v>
      </c>
      <c r="E4" t="s">
        <v>1</v>
      </c>
      <c r="F4">
        <v>8164368865</v>
      </c>
      <c r="J4">
        <v>0</v>
      </c>
      <c r="K4" s="36">
        <v>303421.38</v>
      </c>
      <c r="L4" s="36">
        <v>122.55</v>
      </c>
      <c r="M4" s="47">
        <v>45722</v>
      </c>
      <c r="N4" s="48">
        <v>0.99027777777777781</v>
      </c>
      <c r="P4" t="s">
        <v>2</v>
      </c>
      <c r="Q4" t="s">
        <v>2</v>
      </c>
      <c r="R4" t="s">
        <v>3</v>
      </c>
      <c r="T4" s="49">
        <v>12992</v>
      </c>
      <c r="Z4" t="s">
        <v>4</v>
      </c>
      <c r="AB4" t="s">
        <v>4</v>
      </c>
      <c r="AC4" s="49">
        <v>3637</v>
      </c>
      <c r="AD4" t="s">
        <v>2</v>
      </c>
      <c r="AF4">
        <v>16981040759</v>
      </c>
      <c r="AL4" t="s">
        <v>5</v>
      </c>
      <c r="AN4" s="47"/>
      <c r="AP4" t="s">
        <v>6</v>
      </c>
      <c r="AS4" t="s">
        <v>7</v>
      </c>
      <c r="AV4" s="36">
        <v>1331.91</v>
      </c>
      <c r="AX4">
        <v>0</v>
      </c>
      <c r="AY4">
        <v>0</v>
      </c>
      <c r="AZ4">
        <v>0</v>
      </c>
      <c r="BB4">
        <v>0</v>
      </c>
      <c r="BC4" t="s">
        <v>8</v>
      </c>
      <c r="BG4" t="s">
        <v>2</v>
      </c>
      <c r="BH4">
        <v>14</v>
      </c>
      <c r="BI4">
        <v>27</v>
      </c>
      <c r="BM4" s="61" t="s">
        <v>9</v>
      </c>
      <c r="BN4">
        <v>0</v>
      </c>
      <c r="BO4" t="s">
        <v>10</v>
      </c>
      <c r="BQ4" t="s">
        <v>11</v>
      </c>
      <c r="BR4" s="50">
        <v>45722.333333333336</v>
      </c>
      <c r="BS4" t="s">
        <v>12</v>
      </c>
      <c r="BT4" s="50">
        <v>45722.990277777775</v>
      </c>
      <c r="BU4" s="36">
        <v>122.55</v>
      </c>
      <c r="BV4">
        <v>34640746000181</v>
      </c>
      <c r="BW4" s="61" t="s">
        <v>13</v>
      </c>
      <c r="CA4">
        <v>0</v>
      </c>
      <c r="CB4">
        <v>0</v>
      </c>
    </row>
    <row r="5" spans="1:80" ht="105" x14ac:dyDescent="0.25">
      <c r="A5">
        <v>219272</v>
      </c>
      <c r="B5" s="47">
        <v>45727</v>
      </c>
      <c r="C5" s="48">
        <v>0.33055555555555555</v>
      </c>
      <c r="D5" t="s">
        <v>0</v>
      </c>
      <c r="E5" t="s">
        <v>1</v>
      </c>
      <c r="F5">
        <v>8164368865</v>
      </c>
      <c r="J5">
        <v>0</v>
      </c>
      <c r="K5" s="36">
        <v>22823.29</v>
      </c>
      <c r="L5">
        <v>64.98</v>
      </c>
      <c r="M5" s="47">
        <v>45728</v>
      </c>
      <c r="N5" s="48">
        <v>1.8749999999999999E-2</v>
      </c>
      <c r="P5" t="s">
        <v>2</v>
      </c>
      <c r="Q5" t="s">
        <v>2</v>
      </c>
      <c r="R5" t="s">
        <v>3</v>
      </c>
      <c r="T5" s="49">
        <v>12992</v>
      </c>
      <c r="Z5" t="s">
        <v>4</v>
      </c>
      <c r="AB5" t="s">
        <v>4</v>
      </c>
      <c r="AC5" s="49">
        <v>3637</v>
      </c>
      <c r="AD5" t="s">
        <v>2</v>
      </c>
      <c r="AF5">
        <v>16981040759</v>
      </c>
      <c r="AL5" t="s">
        <v>14</v>
      </c>
      <c r="AP5" t="s">
        <v>6</v>
      </c>
      <c r="AS5" t="s">
        <v>7</v>
      </c>
      <c r="AV5" s="36">
        <v>436.34</v>
      </c>
      <c r="AX5">
        <v>0</v>
      </c>
      <c r="AY5">
        <v>0</v>
      </c>
      <c r="AZ5">
        <v>0</v>
      </c>
      <c r="BB5">
        <v>0</v>
      </c>
      <c r="BC5" t="s">
        <v>8</v>
      </c>
      <c r="BG5" t="s">
        <v>2</v>
      </c>
      <c r="BH5">
        <v>7</v>
      </c>
      <c r="BI5">
        <v>12</v>
      </c>
      <c r="BM5" s="61" t="s">
        <v>15</v>
      </c>
      <c r="BN5">
        <v>0</v>
      </c>
      <c r="BO5" t="s">
        <v>10</v>
      </c>
      <c r="BQ5" t="s">
        <v>11</v>
      </c>
      <c r="BR5" s="50">
        <v>45727.330555555556</v>
      </c>
      <c r="BS5" t="s">
        <v>12</v>
      </c>
      <c r="BT5" s="50">
        <v>45728.018750000003</v>
      </c>
      <c r="BU5">
        <v>64.98</v>
      </c>
      <c r="BV5">
        <v>34640746000181</v>
      </c>
      <c r="BW5" s="61" t="s">
        <v>16</v>
      </c>
      <c r="CA5">
        <v>0</v>
      </c>
      <c r="CB5">
        <v>0</v>
      </c>
    </row>
    <row r="6" spans="1:80" ht="150" x14ac:dyDescent="0.25">
      <c r="A6">
        <v>219507</v>
      </c>
      <c r="B6" s="47">
        <v>45728</v>
      </c>
      <c r="C6" s="48">
        <v>0.35694444444444445</v>
      </c>
      <c r="D6" t="s">
        <v>0</v>
      </c>
      <c r="E6" t="s">
        <v>1</v>
      </c>
      <c r="F6">
        <v>8164368865</v>
      </c>
      <c r="J6">
        <v>0</v>
      </c>
      <c r="K6" s="36">
        <v>149693.89000000001</v>
      </c>
      <c r="L6" s="36">
        <v>231</v>
      </c>
      <c r="M6" s="47">
        <v>45728</v>
      </c>
      <c r="N6" s="48">
        <v>0.98124999999999996</v>
      </c>
      <c r="P6" t="s">
        <v>2</v>
      </c>
      <c r="Q6" t="s">
        <v>2</v>
      </c>
      <c r="R6" t="s">
        <v>3</v>
      </c>
      <c r="T6" s="49">
        <v>12992</v>
      </c>
      <c r="Z6" t="s">
        <v>4</v>
      </c>
      <c r="AB6" t="s">
        <v>4</v>
      </c>
      <c r="AC6" s="49">
        <v>3637</v>
      </c>
      <c r="AD6" t="s">
        <v>2</v>
      </c>
      <c r="AF6">
        <v>16981040759</v>
      </c>
      <c r="AL6" t="s">
        <v>17</v>
      </c>
      <c r="AP6" t="s">
        <v>6</v>
      </c>
      <c r="AS6" t="s">
        <v>7</v>
      </c>
      <c r="AT6" s="49"/>
      <c r="AV6" s="36">
        <v>1679.1</v>
      </c>
      <c r="AX6">
        <v>0</v>
      </c>
      <c r="AY6">
        <v>0</v>
      </c>
      <c r="AZ6">
        <v>0</v>
      </c>
      <c r="BB6">
        <v>0</v>
      </c>
      <c r="BC6" t="s">
        <v>8</v>
      </c>
      <c r="BG6" t="s">
        <v>2</v>
      </c>
      <c r="BH6">
        <v>19</v>
      </c>
      <c r="BI6">
        <v>51</v>
      </c>
      <c r="BM6" s="61" t="s">
        <v>18</v>
      </c>
      <c r="BN6">
        <v>0</v>
      </c>
      <c r="BO6" t="s">
        <v>10</v>
      </c>
      <c r="BQ6" t="s">
        <v>11</v>
      </c>
      <c r="BR6" s="50">
        <v>45728.357638888891</v>
      </c>
      <c r="BS6" t="s">
        <v>19</v>
      </c>
      <c r="BT6" s="50">
        <v>45728.981249999997</v>
      </c>
      <c r="BU6" s="36">
        <v>231</v>
      </c>
      <c r="BV6">
        <v>34640746000181</v>
      </c>
      <c r="BW6" s="61" t="s">
        <v>20</v>
      </c>
      <c r="CA6">
        <v>0</v>
      </c>
      <c r="CB6">
        <v>0</v>
      </c>
    </row>
    <row r="7" spans="1:80" x14ac:dyDescent="0.25">
      <c r="B7" s="47"/>
      <c r="C7" s="48"/>
      <c r="K7" s="36"/>
      <c r="M7" s="47"/>
      <c r="N7" s="48"/>
      <c r="T7" s="49"/>
      <c r="AC7" s="49"/>
      <c r="AV7" s="36"/>
      <c r="BR7" s="50"/>
      <c r="BT7" s="50"/>
    </row>
    <row r="8" spans="1:80" x14ac:dyDescent="0.25">
      <c r="B8" s="47"/>
      <c r="C8" s="48"/>
      <c r="K8" s="36"/>
      <c r="M8" s="47"/>
      <c r="N8" s="48"/>
      <c r="T8" s="49"/>
      <c r="AC8" s="49"/>
      <c r="AV8" s="36"/>
      <c r="BR8" s="50"/>
      <c r="BT8" s="50"/>
    </row>
    <row r="9" spans="1:80" x14ac:dyDescent="0.25">
      <c r="B9" s="47"/>
      <c r="C9" s="48"/>
      <c r="K9" s="36"/>
      <c r="M9" s="47"/>
      <c r="N9" s="48"/>
      <c r="T9" s="49"/>
      <c r="AC9" s="49"/>
      <c r="AV9" s="36"/>
      <c r="AW9" s="36"/>
      <c r="BR9" s="50"/>
      <c r="BT9" s="50"/>
    </row>
    <row r="10" spans="1:80" x14ac:dyDescent="0.25">
      <c r="B10" s="47"/>
      <c r="C10" s="48"/>
      <c r="K10" s="36"/>
      <c r="L10" s="36"/>
      <c r="M10" s="47"/>
      <c r="N10" s="48"/>
      <c r="T10" s="49"/>
      <c r="AC10" s="49"/>
      <c r="AT10" s="49"/>
      <c r="AV10" s="36"/>
      <c r="BR10" s="50"/>
      <c r="BT10" s="50"/>
    </row>
    <row r="11" spans="1:80" x14ac:dyDescent="0.25">
      <c r="B11" s="47"/>
      <c r="C11" s="48"/>
      <c r="K11" s="36"/>
      <c r="M11" s="47"/>
      <c r="N11" s="48"/>
      <c r="T11" s="49"/>
      <c r="AC11" s="49"/>
      <c r="AV11" s="36"/>
      <c r="BR11" s="50"/>
      <c r="BT11" s="50"/>
    </row>
    <row r="12" spans="1:80" x14ac:dyDescent="0.25">
      <c r="B12" s="47"/>
      <c r="C12" s="48"/>
      <c r="K12" s="36"/>
      <c r="M12" s="47"/>
      <c r="N12" s="48"/>
      <c r="T12" s="49"/>
      <c r="AC12" s="49"/>
      <c r="AT12" s="49"/>
      <c r="AV12" s="36"/>
      <c r="BR12" s="50"/>
      <c r="BT12" s="50"/>
    </row>
    <row r="13" spans="1:80" x14ac:dyDescent="0.25">
      <c r="B13" s="47"/>
      <c r="C13" s="48"/>
      <c r="K13" s="36"/>
      <c r="M13" s="47"/>
      <c r="N13" s="48"/>
      <c r="T13" s="49"/>
      <c r="AC13" s="49"/>
      <c r="AV13" s="36"/>
      <c r="BR13" s="50"/>
      <c r="BT13" s="50"/>
    </row>
    <row r="14" spans="1:80" x14ac:dyDescent="0.25">
      <c r="B14" s="47"/>
      <c r="C14" s="48"/>
      <c r="K14" s="36"/>
      <c r="M14" s="47"/>
      <c r="N14" s="48"/>
      <c r="T14" s="49"/>
      <c r="AC14" s="49"/>
      <c r="AV14" s="36"/>
      <c r="BR14" s="50"/>
      <c r="BT14" s="50"/>
    </row>
    <row r="15" spans="1:80" ht="19.5" customHeight="1" x14ac:dyDescent="0.25">
      <c r="B15" s="47"/>
      <c r="C15" s="48"/>
      <c r="K15" s="36"/>
      <c r="M15" s="47"/>
      <c r="N15" s="48"/>
      <c r="T15" s="49"/>
      <c r="AC15" s="49"/>
      <c r="AV15" s="36"/>
      <c r="BR15" s="50"/>
      <c r="BT15" s="50"/>
    </row>
    <row r="16" spans="1:80" x14ac:dyDescent="0.25">
      <c r="B16" s="47"/>
      <c r="C16" s="48"/>
      <c r="K16" s="36"/>
      <c r="M16" s="47"/>
      <c r="N16" s="48"/>
      <c r="T16" s="49"/>
      <c r="AC16" s="49"/>
      <c r="AV16" s="36"/>
      <c r="BR16" s="50"/>
      <c r="BT16" s="50"/>
    </row>
    <row r="17" spans="2:72" x14ac:dyDescent="0.25">
      <c r="B17" s="47"/>
      <c r="C17" s="48"/>
      <c r="K17" s="36"/>
      <c r="M17" s="47"/>
      <c r="N17" s="48"/>
      <c r="T17" s="49"/>
      <c r="AC17" s="49"/>
      <c r="AV17" s="36"/>
      <c r="BR17" s="50"/>
      <c r="BT17" s="50"/>
    </row>
    <row r="18" spans="2:72" x14ac:dyDescent="0.25">
      <c r="B18" s="47"/>
      <c r="C18" s="48"/>
      <c r="K18" s="36"/>
      <c r="M18" s="47"/>
      <c r="N18" s="48"/>
      <c r="T18" s="49"/>
      <c r="AC18" s="49"/>
      <c r="AV18" s="36"/>
      <c r="BR18" s="50"/>
      <c r="BT18" s="50"/>
    </row>
    <row r="19" spans="2:72" x14ac:dyDescent="0.25">
      <c r="B19" s="47"/>
      <c r="C19" s="48"/>
      <c r="K19" s="36"/>
      <c r="M19" s="47"/>
      <c r="N19" s="48"/>
      <c r="T19" s="49"/>
      <c r="AC19" s="49"/>
      <c r="AV19" s="36"/>
      <c r="BR19" s="50"/>
      <c r="BT19" s="50"/>
    </row>
    <row r="20" spans="2:72" x14ac:dyDescent="0.25">
      <c r="B20" s="47"/>
      <c r="C20" s="48"/>
      <c r="K20" s="36"/>
      <c r="M20" s="47"/>
      <c r="N20" s="48"/>
      <c r="T20" s="49"/>
      <c r="AC20" s="49"/>
      <c r="AV20" s="36"/>
      <c r="AW20" s="36"/>
      <c r="BA20" s="36"/>
      <c r="BR20" s="50"/>
      <c r="BT20" s="50"/>
    </row>
    <row r="21" spans="2:72" x14ac:dyDescent="0.25">
      <c r="B21" s="47"/>
      <c r="C21" s="48"/>
      <c r="K21" s="36"/>
      <c r="M21" s="47"/>
      <c r="N21" s="48"/>
      <c r="T21" s="49"/>
      <c r="AC21" s="49"/>
      <c r="AV21" s="36"/>
      <c r="AW21" s="36"/>
      <c r="BR21" s="50"/>
      <c r="BT21" s="50"/>
    </row>
    <row r="22" spans="2:72" x14ac:dyDescent="0.25">
      <c r="B22" s="47"/>
      <c r="C22" s="48"/>
      <c r="K22" s="36"/>
      <c r="M22" s="47"/>
      <c r="N22" s="48"/>
      <c r="T22" s="49"/>
      <c r="AC22" s="49"/>
      <c r="AV22" s="36"/>
      <c r="BR22" s="50"/>
      <c r="BT22" s="50"/>
    </row>
    <row r="23" spans="2:72" x14ac:dyDescent="0.25">
      <c r="B23" s="47"/>
      <c r="C23" s="48"/>
      <c r="K23" s="36"/>
      <c r="M23" s="47"/>
      <c r="N23" s="48"/>
      <c r="T23" s="49"/>
      <c r="AC23" s="49"/>
      <c r="AV23" s="36"/>
      <c r="BR23" s="50"/>
      <c r="BT23" s="50"/>
    </row>
    <row r="24" spans="2:72" x14ac:dyDescent="0.25">
      <c r="B24" s="47"/>
      <c r="C24" s="48"/>
      <c r="K24" s="36"/>
      <c r="M24" s="47"/>
      <c r="N24" s="48"/>
      <c r="T24" s="49"/>
      <c r="AC24" s="49"/>
      <c r="AV24" s="36"/>
      <c r="BR24" s="50"/>
      <c r="BT24" s="50"/>
    </row>
    <row r="25" spans="2:72" x14ac:dyDescent="0.25">
      <c r="B25" s="47"/>
      <c r="C25" s="48"/>
      <c r="K25" s="36"/>
      <c r="M25" s="47"/>
      <c r="N25" s="48"/>
      <c r="T25" s="49"/>
      <c r="AC25" s="49"/>
      <c r="AV25" s="36"/>
      <c r="BR25" s="50"/>
      <c r="BT25" s="50"/>
    </row>
    <row r="26" spans="2:72" x14ac:dyDescent="0.25">
      <c r="B26" s="47"/>
      <c r="C26" s="48"/>
      <c r="K26" s="36"/>
      <c r="M26" s="47"/>
      <c r="N26" s="48"/>
      <c r="T26" s="49"/>
      <c r="AC26" s="49"/>
      <c r="BR26" s="50"/>
      <c r="BT26" s="50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showGridLines="0" workbookViewId="0">
      <selection activeCell="C9" sqref="C9"/>
    </sheetView>
  </sheetViews>
  <sheetFormatPr defaultRowHeight="15" x14ac:dyDescent="0.25"/>
  <cols>
    <col min="1" max="1" width="28.85546875" customWidth="1"/>
    <col min="2" max="2" width="12.7109375" customWidth="1"/>
    <col min="3" max="3" width="31" bestFit="1" customWidth="1"/>
  </cols>
  <sheetData>
    <row r="1" spans="1:6" ht="29.25" customHeight="1" x14ac:dyDescent="0.25">
      <c r="A1" t="s">
        <v>21</v>
      </c>
      <c r="B1" s="62" t="s">
        <v>22</v>
      </c>
      <c r="C1" s="62"/>
    </row>
    <row r="6" spans="1:6" ht="15.75" thickBot="1" x14ac:dyDescent="0.3"/>
    <row r="7" spans="1:6" ht="16.5" thickBot="1" x14ac:dyDescent="0.3">
      <c r="A7" s="42" t="s">
        <v>23</v>
      </c>
      <c r="B7" s="40"/>
      <c r="C7" s="41" t="s">
        <v>24</v>
      </c>
      <c r="D7" s="6"/>
      <c r="E7" s="6"/>
      <c r="F7" s="40" t="s">
        <v>25</v>
      </c>
    </row>
    <row r="8" spans="1:6" x14ac:dyDescent="0.25">
      <c r="A8" s="39">
        <f>SUM(A9:A47)</f>
        <v>3447.35</v>
      </c>
      <c r="C8" s="43">
        <v>2428</v>
      </c>
      <c r="F8">
        <f>BASE!A4</f>
        <v>218618</v>
      </c>
    </row>
    <row r="9" spans="1:6" x14ac:dyDescent="0.25">
      <c r="A9" s="36">
        <f>BASE!AV4</f>
        <v>1331.91</v>
      </c>
      <c r="F9">
        <f>BASE!A5</f>
        <v>219272</v>
      </c>
    </row>
    <row r="10" spans="1:6" x14ac:dyDescent="0.25">
      <c r="A10" s="36">
        <f>BASE!AV5</f>
        <v>436.34</v>
      </c>
      <c r="F10">
        <f>BASE!A6</f>
        <v>219507</v>
      </c>
    </row>
    <row r="11" spans="1:6" x14ac:dyDescent="0.25">
      <c r="A11" s="36">
        <f>BASE!AV6</f>
        <v>1679.1</v>
      </c>
      <c r="F11">
        <f>BASE!A7</f>
        <v>0</v>
      </c>
    </row>
    <row r="12" spans="1:6" x14ac:dyDescent="0.25">
      <c r="A12" s="36">
        <f>BASE!AV7</f>
        <v>0</v>
      </c>
      <c r="F12">
        <f>BASE!A8</f>
        <v>0</v>
      </c>
    </row>
    <row r="13" spans="1:6" x14ac:dyDescent="0.25">
      <c r="A13" s="36">
        <f>BASE!AV8</f>
        <v>0</v>
      </c>
      <c r="C13" s="36"/>
      <c r="F13">
        <f>BASE!A9</f>
        <v>0</v>
      </c>
    </row>
    <row r="14" spans="1:6" x14ac:dyDescent="0.25">
      <c r="A14" s="36">
        <f>BASE!AV9</f>
        <v>0</v>
      </c>
      <c r="F14">
        <f>BASE!A10</f>
        <v>0</v>
      </c>
    </row>
    <row r="15" spans="1:6" x14ac:dyDescent="0.25">
      <c r="A15" s="36">
        <f>BASE!AV10</f>
        <v>0</v>
      </c>
      <c r="C15" s="36"/>
      <c r="F15">
        <f>BASE!A11</f>
        <v>0</v>
      </c>
    </row>
    <row r="16" spans="1:6" x14ac:dyDescent="0.25">
      <c r="A16" s="36">
        <f>BASE!AV11</f>
        <v>0</v>
      </c>
      <c r="F16">
        <f>BASE!A12</f>
        <v>0</v>
      </c>
    </row>
    <row r="17" spans="1:1" x14ac:dyDescent="0.25">
      <c r="A17" s="36">
        <f>BASE!AV12</f>
        <v>0</v>
      </c>
    </row>
    <row r="18" spans="1:1" x14ac:dyDescent="0.25">
      <c r="A18" s="36">
        <f>BASE!AV13</f>
        <v>0</v>
      </c>
    </row>
    <row r="19" spans="1:1" x14ac:dyDescent="0.25">
      <c r="A19" s="36">
        <f>BASE!AV14</f>
        <v>0</v>
      </c>
    </row>
    <row r="20" spans="1:1" x14ac:dyDescent="0.25">
      <c r="A20" s="36">
        <f>BASE!AV15</f>
        <v>0</v>
      </c>
    </row>
    <row r="21" spans="1:1" x14ac:dyDescent="0.25">
      <c r="A21" s="36">
        <f>BASE!AV16</f>
        <v>0</v>
      </c>
    </row>
    <row r="22" spans="1:1" x14ac:dyDescent="0.25">
      <c r="A22" s="36">
        <f>BASE!AV17</f>
        <v>0</v>
      </c>
    </row>
    <row r="23" spans="1:1" x14ac:dyDescent="0.25">
      <c r="A23" s="36">
        <f>BASE!AV18</f>
        <v>0</v>
      </c>
    </row>
    <row r="24" spans="1:1" x14ac:dyDescent="0.25">
      <c r="A24" s="36">
        <f>BASE!AV19</f>
        <v>0</v>
      </c>
    </row>
    <row r="25" spans="1:1" x14ac:dyDescent="0.25">
      <c r="A25" s="36">
        <f>BASE!AV20</f>
        <v>0</v>
      </c>
    </row>
    <row r="26" spans="1:1" x14ac:dyDescent="0.25">
      <c r="A26" s="36">
        <f>BASE!AV21</f>
        <v>0</v>
      </c>
    </row>
    <row r="27" spans="1:1" x14ac:dyDescent="0.25">
      <c r="A27" s="36">
        <f>BASE!AV22</f>
        <v>0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showGridLines="0" tabSelected="1" zoomScaleNormal="100" workbookViewId="0">
      <selection activeCell="J1" sqref="A1:J46"/>
    </sheetView>
  </sheetViews>
  <sheetFormatPr defaultColWidth="9.140625" defaultRowHeight="15.75" x14ac:dyDescent="0.25"/>
  <cols>
    <col min="1" max="1" width="3.5703125" style="1" customWidth="1"/>
    <col min="2" max="2" width="11.85546875" style="1" customWidth="1"/>
    <col min="3" max="3" width="12" style="1" customWidth="1"/>
    <col min="4" max="4" width="6.28515625" style="1" customWidth="1"/>
    <col min="5" max="5" width="11.85546875" style="1" customWidth="1"/>
    <col min="6" max="6" width="10.85546875" style="1" customWidth="1"/>
    <col min="7" max="7" width="10.140625" style="1" customWidth="1"/>
    <col min="8" max="8" width="12.140625" style="1" bestFit="1" customWidth="1"/>
    <col min="9" max="9" width="9.140625" style="1" customWidth="1"/>
    <col min="10" max="10" width="2.85546875" style="1" customWidth="1"/>
    <col min="11" max="16384" width="9.140625" style="1"/>
  </cols>
  <sheetData>
    <row r="1" spans="1:12" x14ac:dyDescent="0.25">
      <c r="A1" s="2"/>
      <c r="B1" s="3"/>
      <c r="C1" s="3"/>
      <c r="D1" s="3"/>
      <c r="E1" s="3"/>
      <c r="F1" s="3"/>
      <c r="G1" s="3"/>
      <c r="H1" s="3"/>
      <c r="I1" s="3"/>
      <c r="J1" s="4"/>
    </row>
    <row r="2" spans="1:12" x14ac:dyDescent="0.25">
      <c r="A2" s="5"/>
      <c r="B2" s="6"/>
      <c r="C2" s="6"/>
      <c r="J2" s="7"/>
    </row>
    <row r="3" spans="1:12" ht="16.5" thickBot="1" x14ac:dyDescent="0.3">
      <c r="A3" s="5"/>
      <c r="B3" s="6"/>
      <c r="C3" s="6"/>
      <c r="D3" s="8"/>
      <c r="E3" s="8"/>
      <c r="F3" s="8"/>
      <c r="G3" s="8"/>
      <c r="H3" s="8"/>
      <c r="I3" s="8"/>
      <c r="J3" s="9"/>
    </row>
    <row r="4" spans="1:12" ht="16.5" thickBot="1" x14ac:dyDescent="0.3">
      <c r="A4" s="77" t="s">
        <v>26</v>
      </c>
      <c r="B4" s="78"/>
      <c r="C4" s="78"/>
      <c r="D4" s="78"/>
      <c r="E4" s="78"/>
      <c r="F4" s="78"/>
      <c r="G4" s="78"/>
      <c r="H4" s="78"/>
      <c r="I4" s="78"/>
      <c r="J4" s="79"/>
    </row>
    <row r="5" spans="1:12" ht="16.5" thickBot="1" x14ac:dyDescent="0.3">
      <c r="A5" s="5"/>
      <c r="B5" s="19" t="s">
        <v>27</v>
      </c>
      <c r="C5" s="83" t="s">
        <v>28</v>
      </c>
      <c r="D5" s="83"/>
      <c r="E5" s="83"/>
      <c r="F5" s="8" t="s">
        <v>29</v>
      </c>
      <c r="G5" s="83" t="s">
        <v>30</v>
      </c>
      <c r="H5" s="83"/>
      <c r="I5" s="83"/>
      <c r="J5" s="7"/>
    </row>
    <row r="6" spans="1:12" ht="16.5" thickBot="1" x14ac:dyDescent="0.3">
      <c r="A6" s="5"/>
      <c r="B6" s="8"/>
      <c r="C6" s="17"/>
      <c r="D6" s="17"/>
      <c r="E6" s="17"/>
      <c r="F6" s="8"/>
      <c r="G6" s="17" t="s">
        <v>31</v>
      </c>
      <c r="H6" s="17"/>
      <c r="I6" s="17"/>
      <c r="J6" s="7"/>
    </row>
    <row r="7" spans="1:12" ht="16.5" thickBot="1" x14ac:dyDescent="0.3">
      <c r="A7" s="77" t="s">
        <v>32</v>
      </c>
      <c r="B7" s="78"/>
      <c r="C7" s="78"/>
      <c r="D7" s="78"/>
      <c r="E7" s="78"/>
      <c r="F7" s="78"/>
      <c r="G7" s="78"/>
      <c r="H7" s="78"/>
      <c r="I7" s="78"/>
      <c r="J7" s="79"/>
    </row>
    <row r="8" spans="1:12" x14ac:dyDescent="0.25">
      <c r="A8" s="80" t="s">
        <v>33</v>
      </c>
      <c r="B8" s="81"/>
      <c r="C8" s="81"/>
      <c r="D8" s="82">
        <v>45717</v>
      </c>
      <c r="E8" s="81"/>
      <c r="F8" s="33" t="s">
        <v>34</v>
      </c>
      <c r="G8" s="32">
        <v>0.33333333333333331</v>
      </c>
      <c r="J8" s="7"/>
    </row>
    <row r="9" spans="1:12" x14ac:dyDescent="0.25">
      <c r="A9" s="5"/>
      <c r="D9" s="10"/>
      <c r="E9" s="11"/>
      <c r="F9" s="10"/>
      <c r="G9" s="12"/>
      <c r="J9" s="7"/>
    </row>
    <row r="10" spans="1:12" x14ac:dyDescent="0.25">
      <c r="A10" s="80" t="s">
        <v>35</v>
      </c>
      <c r="B10" s="81"/>
      <c r="C10" s="81"/>
      <c r="D10" s="82">
        <v>45731</v>
      </c>
      <c r="E10" s="81"/>
      <c r="F10" s="33" t="s">
        <v>34</v>
      </c>
      <c r="G10" s="32">
        <v>0.33333333333333331</v>
      </c>
      <c r="J10" s="7"/>
    </row>
    <row r="11" spans="1:12" ht="16.5" thickBot="1" x14ac:dyDescent="0.3">
      <c r="A11" s="30"/>
      <c r="B11" s="31"/>
      <c r="C11" s="31"/>
      <c r="D11" s="31"/>
      <c r="E11" s="31"/>
      <c r="F11" s="10"/>
      <c r="G11" s="13"/>
      <c r="J11" s="7"/>
    </row>
    <row r="12" spans="1:12" ht="16.5" thickBot="1" x14ac:dyDescent="0.3">
      <c r="A12" s="66" t="s">
        <v>36</v>
      </c>
      <c r="B12" s="67"/>
      <c r="C12" s="67"/>
      <c r="D12" s="67"/>
      <c r="E12" s="67"/>
      <c r="F12" s="67"/>
      <c r="G12" s="67"/>
      <c r="H12" s="67"/>
      <c r="I12" s="67"/>
      <c r="J12" s="68"/>
    </row>
    <row r="13" spans="1:12" x14ac:dyDescent="0.25">
      <c r="A13" s="5"/>
      <c r="B13" s="34" t="s">
        <v>37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42</v>
      </c>
      <c r="H13" s="1" t="s">
        <v>43</v>
      </c>
      <c r="J13" s="7"/>
    </row>
    <row r="14" spans="1:12" ht="16.5" thickBot="1" x14ac:dyDescent="0.3">
      <c r="A14" s="5"/>
      <c r="B14" s="1" t="s">
        <v>44</v>
      </c>
      <c r="J14" s="7"/>
    </row>
    <row r="15" spans="1:12" ht="16.5" thickBot="1" x14ac:dyDescent="0.3">
      <c r="A15" s="63" t="s">
        <v>45</v>
      </c>
      <c r="B15" s="64"/>
      <c r="C15" s="64"/>
      <c r="D15" s="64"/>
      <c r="E15" s="64"/>
      <c r="F15" s="64"/>
      <c r="G15" s="64"/>
      <c r="H15" s="64"/>
      <c r="I15" s="64"/>
      <c r="J15" s="65"/>
    </row>
    <row r="16" spans="1:12" ht="8.25" customHeight="1" thickBot="1" x14ac:dyDescent="0.3">
      <c r="A16" s="5"/>
      <c r="J16" s="7"/>
      <c r="L16" s="60" t="s">
        <v>46</v>
      </c>
    </row>
    <row r="17" spans="1:14" ht="29.25" customHeight="1" thickBot="1" x14ac:dyDescent="0.3">
      <c r="A17" s="5"/>
      <c r="B17" s="72" t="s">
        <v>47</v>
      </c>
      <c r="C17" s="73"/>
      <c r="D17" s="74" t="str">
        <f>Plan1!B1</f>
        <v>ELAINE MARIA JULIO</v>
      </c>
      <c r="E17" s="75"/>
      <c r="F17" s="75"/>
      <c r="G17" s="76"/>
      <c r="H17" s="14"/>
      <c r="I17" s="14"/>
      <c r="J17" s="15"/>
    </row>
    <row r="18" spans="1:14" ht="19.5" customHeight="1" thickBot="1" x14ac:dyDescent="0.3">
      <c r="A18" s="5"/>
      <c r="B18" s="72" t="s">
        <v>48</v>
      </c>
      <c r="C18" s="73"/>
      <c r="D18" s="95" t="str">
        <f>IFERROR(VLOOKUP(D17,CADASTRO!A1:'CADASTRO'!C29,3,0),"")</f>
        <v>FKI8E23</v>
      </c>
      <c r="E18" s="96"/>
      <c r="F18" s="96"/>
      <c r="G18" s="97"/>
      <c r="J18" s="7"/>
    </row>
    <row r="19" spans="1:14" ht="19.5" customHeight="1" thickBot="1" x14ac:dyDescent="0.3">
      <c r="A19" s="5"/>
      <c r="B19" s="72" t="s">
        <v>49</v>
      </c>
      <c r="C19" s="73"/>
      <c r="D19" s="113" t="str">
        <f>IFERROR(VLOOKUP(D17,CADASTRO!A1:C29,2,0),"")</f>
        <v>55.319.804/0001-40</v>
      </c>
      <c r="E19" s="114"/>
      <c r="F19" s="114"/>
      <c r="G19" s="115"/>
      <c r="J19" s="7"/>
    </row>
    <row r="20" spans="1:14" ht="16.5" thickBot="1" x14ac:dyDescent="0.3">
      <c r="A20" s="5"/>
      <c r="J20" s="7"/>
    </row>
    <row r="21" spans="1:14" ht="16.5" thickBot="1" x14ac:dyDescent="0.3">
      <c r="A21" s="5"/>
      <c r="C21" s="69" t="s">
        <v>50</v>
      </c>
      <c r="D21" s="70"/>
      <c r="E21" s="70"/>
      <c r="F21" s="70"/>
      <c r="G21" s="71"/>
      <c r="J21" s="7"/>
      <c r="M21"/>
    </row>
    <row r="22" spans="1:14" ht="16.5" thickBot="1" x14ac:dyDescent="0.3">
      <c r="A22" s="5"/>
      <c r="C22" s="35"/>
      <c r="D22" s="35"/>
      <c r="E22" s="35"/>
      <c r="F22" s="35"/>
      <c r="G22" s="35"/>
      <c r="J22" s="7"/>
      <c r="M22"/>
    </row>
    <row r="23" spans="1:14" ht="18" customHeight="1" x14ac:dyDescent="0.25">
      <c r="A23" s="116" t="s">
        <v>51</v>
      </c>
      <c r="B23" s="117"/>
      <c r="C23" s="117"/>
      <c r="D23" s="117"/>
      <c r="E23" s="46"/>
      <c r="F23" s="118" t="str">
        <f>D17</f>
        <v>ELAINE MARIA JULIO</v>
      </c>
      <c r="G23" s="118"/>
      <c r="H23" s="118"/>
      <c r="I23" s="118"/>
      <c r="J23" s="119"/>
      <c r="M23"/>
      <c r="N23" s="38"/>
    </row>
    <row r="24" spans="1:14" ht="49.5" customHeight="1" thickBot="1" x14ac:dyDescent="0.3">
      <c r="A24" s="111" t="s">
        <v>52</v>
      </c>
      <c r="B24" s="112"/>
      <c r="C24" s="112"/>
      <c r="D24" s="112"/>
      <c r="E24" s="109" t="str">
        <f>_xlfn.TEXTJOIN("/ ",,Plan1!F8:F786)</f>
        <v>218618/ 219272/ 219507/ 0/ 0/ 0/ 0/ 0/ 0</v>
      </c>
      <c r="F24" s="109"/>
      <c r="G24" s="109"/>
      <c r="H24" s="109"/>
      <c r="I24" s="109"/>
      <c r="J24" s="110"/>
      <c r="M24"/>
    </row>
    <row r="25" spans="1:14" ht="16.5" thickBot="1" x14ac:dyDescent="0.3">
      <c r="A25" s="5"/>
      <c r="B25" s="90"/>
      <c r="C25" s="90"/>
      <c r="G25" s="91"/>
      <c r="H25" s="91"/>
      <c r="J25" s="7"/>
      <c r="M25"/>
      <c r="N25" s="38"/>
    </row>
    <row r="26" spans="1:14" ht="16.5" thickBot="1" x14ac:dyDescent="0.3">
      <c r="A26" s="5"/>
      <c r="B26" s="95" t="s">
        <v>53</v>
      </c>
      <c r="C26" s="96"/>
      <c r="D26" s="96"/>
      <c r="E26" s="97"/>
      <c r="G26" s="98">
        <f>Plan1!C8</f>
        <v>2428</v>
      </c>
      <c r="H26" s="99"/>
      <c r="I26" s="100"/>
      <c r="J26" s="7"/>
      <c r="M26"/>
    </row>
    <row r="27" spans="1:14" ht="16.5" thickBot="1" x14ac:dyDescent="0.3">
      <c r="A27" s="5"/>
      <c r="B27" s="8"/>
      <c r="C27" s="8"/>
      <c r="D27" s="8"/>
      <c r="E27" s="8"/>
      <c r="G27" s="16"/>
      <c r="H27" s="16"/>
      <c r="I27" s="16"/>
      <c r="J27" s="7"/>
      <c r="M27"/>
      <c r="N27" s="38"/>
    </row>
    <row r="28" spans="1:14" ht="16.5" thickBot="1" x14ac:dyDescent="0.3">
      <c r="A28" s="5"/>
      <c r="B28" s="95" t="s">
        <v>23</v>
      </c>
      <c r="C28" s="96"/>
      <c r="D28" s="96"/>
      <c r="E28" s="97"/>
      <c r="G28" s="87">
        <f>Plan1!A8</f>
        <v>3447.35</v>
      </c>
      <c r="H28" s="88"/>
      <c r="I28" s="89"/>
      <c r="J28" s="7"/>
      <c r="M28"/>
    </row>
    <row r="29" spans="1:14" ht="16.5" thickBot="1" x14ac:dyDescent="0.3">
      <c r="A29" s="5"/>
      <c r="B29" s="8"/>
      <c r="C29" s="8"/>
      <c r="D29" s="8"/>
      <c r="E29" s="8"/>
      <c r="G29" s="16"/>
      <c r="H29" s="17"/>
      <c r="I29" s="17"/>
      <c r="J29" s="7"/>
      <c r="M29"/>
    </row>
    <row r="30" spans="1:14" ht="15" customHeight="1" thickBot="1" x14ac:dyDescent="0.3">
      <c r="A30" s="5"/>
      <c r="B30" s="74" t="s">
        <v>54</v>
      </c>
      <c r="C30" s="75"/>
      <c r="D30" s="75"/>
      <c r="E30" s="76"/>
      <c r="G30" s="92">
        <f>(G28/G26)-1</f>
        <v>0.41983113673805605</v>
      </c>
      <c r="H30" s="93"/>
      <c r="I30" s="94"/>
      <c r="J30" s="7"/>
      <c r="M30"/>
    </row>
    <row r="31" spans="1:14" ht="16.5" thickBot="1" x14ac:dyDescent="0.3">
      <c r="A31" s="5"/>
      <c r="J31" s="7"/>
    </row>
    <row r="32" spans="1:14" ht="16.5" thickBot="1" x14ac:dyDescent="0.3">
      <c r="A32" s="5"/>
      <c r="B32" s="102" t="s">
        <v>55</v>
      </c>
      <c r="C32" s="103"/>
      <c r="D32" s="103"/>
      <c r="E32" s="104"/>
      <c r="H32" s="18">
        <v>45734</v>
      </c>
      <c r="J32" s="7"/>
      <c r="N32" s="1" t="s">
        <v>56</v>
      </c>
    </row>
    <row r="33" spans="1:10" ht="16.5" thickBot="1" x14ac:dyDescent="0.3">
      <c r="A33" s="5"/>
      <c r="B33" s="19"/>
      <c r="C33" s="19"/>
      <c r="D33" s="19"/>
      <c r="E33" s="19"/>
      <c r="H33" s="20"/>
      <c r="J33" s="7"/>
    </row>
    <row r="34" spans="1:10" ht="16.5" thickBot="1" x14ac:dyDescent="0.3">
      <c r="A34" s="5"/>
      <c r="B34" s="106" t="s">
        <v>57</v>
      </c>
      <c r="C34" s="107"/>
      <c r="D34" s="107"/>
      <c r="E34" s="108"/>
      <c r="H34" s="21">
        <v>45747</v>
      </c>
      <c r="J34" s="7"/>
    </row>
    <row r="35" spans="1:10" x14ac:dyDescent="0.25">
      <c r="A35" s="5"/>
      <c r="H35" s="37"/>
      <c r="J35" s="7"/>
    </row>
    <row r="36" spans="1:10" ht="16.5" thickBot="1" x14ac:dyDescent="0.3">
      <c r="A36" s="5"/>
      <c r="J36" s="7"/>
    </row>
    <row r="37" spans="1:10" ht="16.5" thickBot="1" x14ac:dyDescent="0.3">
      <c r="A37" s="5"/>
      <c r="B37" s="72" t="s">
        <v>58</v>
      </c>
      <c r="C37" s="101"/>
      <c r="D37" s="73"/>
      <c r="J37" s="7"/>
    </row>
    <row r="38" spans="1:10" x14ac:dyDescent="0.25">
      <c r="A38" s="5"/>
      <c r="J38" s="7"/>
    </row>
    <row r="39" spans="1:10" ht="15.75" customHeight="1" x14ac:dyDescent="0.25">
      <c r="A39" s="5" t="s">
        <v>59</v>
      </c>
      <c r="C39" s="90" t="s">
        <v>60</v>
      </c>
      <c r="D39" s="90"/>
      <c r="F39" s="1" t="s">
        <v>61</v>
      </c>
      <c r="H39" s="1" t="s">
        <v>62</v>
      </c>
      <c r="J39" s="7"/>
    </row>
    <row r="40" spans="1:10" x14ac:dyDescent="0.25">
      <c r="A40" s="22" t="s">
        <v>63</v>
      </c>
      <c r="B40" s="23"/>
      <c r="C40" s="105" t="s">
        <v>64</v>
      </c>
      <c r="D40" s="105"/>
      <c r="F40" s="24" t="s">
        <v>65</v>
      </c>
      <c r="G40" s="23"/>
      <c r="H40" s="25" t="s">
        <v>66</v>
      </c>
      <c r="J40" s="7"/>
    </row>
    <row r="41" spans="1:10" x14ac:dyDescent="0.25">
      <c r="A41" s="5"/>
      <c r="J41" s="7"/>
    </row>
    <row r="42" spans="1:10" x14ac:dyDescent="0.25">
      <c r="A42" s="5"/>
      <c r="J42" s="7"/>
    </row>
    <row r="43" spans="1:10" x14ac:dyDescent="0.25">
      <c r="A43" s="5"/>
      <c r="B43" s="1" t="s">
        <v>67</v>
      </c>
      <c r="F43" s="26" t="s">
        <v>68</v>
      </c>
      <c r="J43" s="7"/>
    </row>
    <row r="44" spans="1:10" x14ac:dyDescent="0.25">
      <c r="A44" s="5"/>
      <c r="J44" s="7"/>
    </row>
    <row r="45" spans="1:10" x14ac:dyDescent="0.25">
      <c r="A45" s="5"/>
      <c r="J45" s="7"/>
    </row>
    <row r="46" spans="1:10" x14ac:dyDescent="0.25">
      <c r="A46" s="84" t="s">
        <v>69</v>
      </c>
      <c r="B46" s="85"/>
      <c r="C46" s="85"/>
      <c r="G46" s="85" t="s">
        <v>70</v>
      </c>
      <c r="H46" s="85"/>
      <c r="I46" s="85"/>
      <c r="J46" s="86"/>
    </row>
    <row r="47" spans="1:10" ht="16.5" thickBot="1" x14ac:dyDescent="0.3">
      <c r="A47" s="27"/>
      <c r="B47" s="28"/>
      <c r="C47" s="28"/>
      <c r="D47" s="28"/>
      <c r="E47" s="28"/>
      <c r="F47" s="28"/>
      <c r="G47" s="28"/>
      <c r="H47" s="28"/>
      <c r="I47" s="28"/>
      <c r="J47" s="29"/>
    </row>
  </sheetData>
  <mergeCells count="36">
    <mergeCell ref="E24:J24"/>
    <mergeCell ref="A24:D24"/>
    <mergeCell ref="B18:C18"/>
    <mergeCell ref="B19:C19"/>
    <mergeCell ref="D18:G18"/>
    <mergeCell ref="D19:G19"/>
    <mergeCell ref="A23:D23"/>
    <mergeCell ref="F23:J23"/>
    <mergeCell ref="A46:C46"/>
    <mergeCell ref="G46:J46"/>
    <mergeCell ref="G28:I28"/>
    <mergeCell ref="B25:C25"/>
    <mergeCell ref="G25:H25"/>
    <mergeCell ref="G30:I30"/>
    <mergeCell ref="B26:E26"/>
    <mergeCell ref="B28:E28"/>
    <mergeCell ref="B30:E30"/>
    <mergeCell ref="G26:I26"/>
    <mergeCell ref="B37:D37"/>
    <mergeCell ref="B32:E32"/>
    <mergeCell ref="C40:D40"/>
    <mergeCell ref="C39:D39"/>
    <mergeCell ref="B34:E34"/>
    <mergeCell ref="A4:J4"/>
    <mergeCell ref="A7:J7"/>
    <mergeCell ref="A8:C8"/>
    <mergeCell ref="A10:C10"/>
    <mergeCell ref="D10:E10"/>
    <mergeCell ref="D8:E8"/>
    <mergeCell ref="G5:I5"/>
    <mergeCell ref="C5:E5"/>
    <mergeCell ref="A15:J15"/>
    <mergeCell ref="A12:J12"/>
    <mergeCell ref="C21:G21"/>
    <mergeCell ref="B17:C17"/>
    <mergeCell ref="D17:G17"/>
  </mergeCells>
  <pageMargins left="0.23622047244094491" right="0.23622047244094491" top="0.15748031496062992" bottom="0.15748031496062992" header="0.31496062992125984" footer="0.31496062992125984"/>
  <pageSetup paperSize="9" scale="10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>
      <selection activeCell="A15" sqref="A15"/>
    </sheetView>
  </sheetViews>
  <sheetFormatPr defaultRowHeight="15" x14ac:dyDescent="0.25"/>
  <cols>
    <col min="1" max="1" width="38.28515625" bestFit="1" customWidth="1"/>
    <col min="2" max="2" width="25.140625" style="44" customWidth="1"/>
    <col min="3" max="3" width="21.5703125" style="44" customWidth="1"/>
  </cols>
  <sheetData>
    <row r="1" spans="1:3" x14ac:dyDescent="0.25">
      <c r="A1" t="s">
        <v>71</v>
      </c>
      <c r="B1" s="44" t="s">
        <v>72</v>
      </c>
      <c r="C1" s="44" t="s">
        <v>73</v>
      </c>
    </row>
    <row r="2" spans="1:3" x14ac:dyDescent="0.25">
      <c r="A2" t="s">
        <v>74</v>
      </c>
      <c r="B2" s="45">
        <v>24567746000140</v>
      </c>
      <c r="C2" s="44" t="s">
        <v>75</v>
      </c>
    </row>
    <row r="3" spans="1:3" x14ac:dyDescent="0.25">
      <c r="A3" t="s">
        <v>76</v>
      </c>
      <c r="B3" s="45">
        <v>36629994000157</v>
      </c>
      <c r="C3" s="44" t="s">
        <v>77</v>
      </c>
    </row>
    <row r="4" spans="1:3" x14ac:dyDescent="0.25">
      <c r="A4" t="s">
        <v>78</v>
      </c>
      <c r="B4" s="45">
        <v>33734357000152</v>
      </c>
      <c r="C4" s="44" t="s">
        <v>79</v>
      </c>
    </row>
    <row r="5" spans="1:3" x14ac:dyDescent="0.25">
      <c r="A5" t="s">
        <v>80</v>
      </c>
      <c r="B5" s="45">
        <v>35781553000103</v>
      </c>
      <c r="C5" s="44" t="s">
        <v>81</v>
      </c>
    </row>
    <row r="6" spans="1:3" x14ac:dyDescent="0.25">
      <c r="A6" t="s">
        <v>0</v>
      </c>
      <c r="B6" s="45">
        <v>34640746000181</v>
      </c>
      <c r="C6" s="44" t="s">
        <v>1</v>
      </c>
    </row>
    <row r="7" spans="1:3" x14ac:dyDescent="0.25">
      <c r="A7" t="s">
        <v>82</v>
      </c>
      <c r="B7" s="44" t="s">
        <v>83</v>
      </c>
      <c r="C7" s="44" t="s">
        <v>84</v>
      </c>
    </row>
    <row r="8" spans="1:3" x14ac:dyDescent="0.25">
      <c r="A8" t="s">
        <v>85</v>
      </c>
      <c r="B8" s="44" t="s">
        <v>86</v>
      </c>
      <c r="C8" s="44" t="s">
        <v>87</v>
      </c>
    </row>
    <row r="9" spans="1:3" x14ac:dyDescent="0.25">
      <c r="A9" t="s">
        <v>88</v>
      </c>
      <c r="B9" s="44" t="s">
        <v>89</v>
      </c>
      <c r="C9" s="44" t="s">
        <v>90</v>
      </c>
    </row>
    <row r="10" spans="1:3" x14ac:dyDescent="0.25">
      <c r="A10" t="s">
        <v>91</v>
      </c>
      <c r="B10" s="44" t="s">
        <v>92</v>
      </c>
      <c r="C10" s="44" t="s">
        <v>93</v>
      </c>
    </row>
    <row r="11" spans="1:3" x14ac:dyDescent="0.25">
      <c r="A11" t="s">
        <v>94</v>
      </c>
      <c r="B11" s="44" t="s">
        <v>95</v>
      </c>
      <c r="C11" s="44" t="s">
        <v>96</v>
      </c>
    </row>
    <row r="12" spans="1:3" x14ac:dyDescent="0.25">
      <c r="A12" t="s">
        <v>97</v>
      </c>
      <c r="B12" s="44" t="s">
        <v>98</v>
      </c>
      <c r="C12" s="44" t="s">
        <v>99</v>
      </c>
    </row>
    <row r="13" spans="1:3" x14ac:dyDescent="0.25">
      <c r="A13" t="s">
        <v>100</v>
      </c>
      <c r="B13" s="44" t="s">
        <v>101</v>
      </c>
      <c r="C13" s="44" t="s">
        <v>102</v>
      </c>
    </row>
    <row r="14" spans="1:3" x14ac:dyDescent="0.25">
      <c r="A14" t="s">
        <v>103</v>
      </c>
      <c r="B14" s="44" t="s">
        <v>104</v>
      </c>
      <c r="C14" s="44" t="s">
        <v>105</v>
      </c>
    </row>
    <row r="15" spans="1:3" x14ac:dyDescent="0.25">
      <c r="A15" t="s">
        <v>22</v>
      </c>
      <c r="B15" s="44" t="s">
        <v>106</v>
      </c>
      <c r="C15" s="44" t="s">
        <v>107</v>
      </c>
    </row>
    <row r="16" spans="1:3" x14ac:dyDescent="0.25">
      <c r="A16" t="s">
        <v>108</v>
      </c>
      <c r="B16" s="44" t="s">
        <v>109</v>
      </c>
      <c r="C16" s="44" t="s">
        <v>110</v>
      </c>
    </row>
    <row r="17" spans="1:3" x14ac:dyDescent="0.25">
      <c r="A17" t="s">
        <v>111</v>
      </c>
      <c r="B17" s="44" t="s">
        <v>112</v>
      </c>
      <c r="C17" s="44" t="s">
        <v>113</v>
      </c>
    </row>
    <row r="18" spans="1:3" x14ac:dyDescent="0.25">
      <c r="A18" t="s">
        <v>114</v>
      </c>
      <c r="B18" s="59" t="s">
        <v>115</v>
      </c>
      <c r="C18" s="44" t="s">
        <v>116</v>
      </c>
    </row>
    <row r="19" spans="1:3" x14ac:dyDescent="0.25">
      <c r="A19" t="s">
        <v>117</v>
      </c>
      <c r="B19" s="44" t="s">
        <v>118</v>
      </c>
      <c r="C19" s="44" t="s">
        <v>119</v>
      </c>
    </row>
  </sheetData>
  <autoFilter ref="A1:C1" xr:uid="{00000000-0001-0000-0200-000000000000}">
    <sortState xmlns:xlrd2="http://schemas.microsoft.com/office/spreadsheetml/2017/richdata2" ref="A2:C17">
      <sortCondition ref="A1"/>
    </sortState>
  </autoFilter>
  <pageMargins left="0.511811024" right="0.511811024" top="0.78740157499999996" bottom="0.78740157499999996" header="0.31496062000000002" footer="0.31496062000000002"/>
  <pageSetup orientation="portrait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A85B-EA49-4095-B5AF-D310725DED86}">
  <dimension ref="A1:B15"/>
  <sheetViews>
    <sheetView workbookViewId="0">
      <selection activeCell="A13" sqref="A13"/>
    </sheetView>
  </sheetViews>
  <sheetFormatPr defaultRowHeight="15" x14ac:dyDescent="0.25"/>
  <cols>
    <col min="1" max="1" width="33.7109375" customWidth="1"/>
    <col min="2" max="2" width="30.7109375" customWidth="1"/>
  </cols>
  <sheetData>
    <row r="1" spans="1:2" ht="29.25" customHeight="1" thickBot="1" x14ac:dyDescent="0.3">
      <c r="A1" s="57" t="s">
        <v>21</v>
      </c>
      <c r="B1" s="58" t="s">
        <v>120</v>
      </c>
    </row>
    <row r="2" spans="1:2" ht="23.25" customHeight="1" thickBot="1" x14ac:dyDescent="0.3">
      <c r="A2" s="51" t="s">
        <v>74</v>
      </c>
      <c r="B2" s="52">
        <v>3933</v>
      </c>
    </row>
    <row r="3" spans="1:2" ht="15.75" thickBot="1" x14ac:dyDescent="0.3">
      <c r="A3" s="51" t="s">
        <v>76</v>
      </c>
      <c r="B3" s="52">
        <v>6495</v>
      </c>
    </row>
    <row r="4" spans="1:2" ht="15.75" thickBot="1" x14ac:dyDescent="0.3">
      <c r="A4" s="51" t="s">
        <v>121</v>
      </c>
      <c r="B4" s="52">
        <v>3126</v>
      </c>
    </row>
    <row r="5" spans="1:2" ht="15.75" thickBot="1" x14ac:dyDescent="0.3">
      <c r="A5" s="51" t="s">
        <v>80</v>
      </c>
      <c r="B5" s="52">
        <v>7074</v>
      </c>
    </row>
    <row r="6" spans="1:2" ht="15.75" thickBot="1" x14ac:dyDescent="0.3">
      <c r="A6" s="51" t="s">
        <v>22</v>
      </c>
      <c r="B6" s="52">
        <v>5331</v>
      </c>
    </row>
    <row r="7" spans="1:2" ht="15.75" thickBot="1" x14ac:dyDescent="0.3">
      <c r="A7" s="51" t="s">
        <v>122</v>
      </c>
      <c r="B7" s="52">
        <v>6767</v>
      </c>
    </row>
    <row r="8" spans="1:2" ht="15.75" thickBot="1" x14ac:dyDescent="0.3">
      <c r="A8" s="51" t="s">
        <v>100</v>
      </c>
      <c r="B8" s="52">
        <v>7311</v>
      </c>
    </row>
    <row r="9" spans="1:2" ht="15.75" thickBot="1" x14ac:dyDescent="0.3">
      <c r="A9" s="51" t="s">
        <v>123</v>
      </c>
      <c r="B9" s="52">
        <v>4013</v>
      </c>
    </row>
    <row r="10" spans="1:2" ht="15.75" thickBot="1" x14ac:dyDescent="0.3">
      <c r="A10" s="51" t="s">
        <v>124</v>
      </c>
      <c r="B10" s="52">
        <v>5725</v>
      </c>
    </row>
    <row r="11" spans="1:2" ht="15.75" thickBot="1" x14ac:dyDescent="0.3">
      <c r="A11" s="51" t="s">
        <v>111</v>
      </c>
      <c r="B11" s="52">
        <v>1128</v>
      </c>
    </row>
    <row r="12" spans="1:2" ht="15.75" thickBot="1" x14ac:dyDescent="0.3">
      <c r="A12" s="51" t="s">
        <v>94</v>
      </c>
      <c r="B12" s="52">
        <v>6491</v>
      </c>
    </row>
    <row r="13" spans="1:2" ht="15.75" thickBot="1" x14ac:dyDescent="0.3">
      <c r="A13" s="51" t="s">
        <v>82</v>
      </c>
      <c r="B13" s="52">
        <v>5550</v>
      </c>
    </row>
    <row r="14" spans="1:2" ht="15.75" thickBot="1" x14ac:dyDescent="0.3">
      <c r="A14" s="53"/>
      <c r="B14" s="54"/>
    </row>
    <row r="15" spans="1:2" ht="15.75" thickBot="1" x14ac:dyDescent="0.3">
      <c r="A15" s="55" t="s">
        <v>125</v>
      </c>
      <c r="B15" s="56">
        <f>SUM(B2:B14)</f>
        <v>62944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B81DE5CE7BEC42897FF8D945727ED7" ma:contentTypeVersion="4" ma:contentTypeDescription="Criar um novo documento." ma:contentTypeScope="" ma:versionID="813a29da74f9045196cc74a83cc03579">
  <xsd:schema xmlns:xsd="http://www.w3.org/2001/XMLSchema" xmlns:xs="http://www.w3.org/2001/XMLSchema" xmlns:p="http://schemas.microsoft.com/office/2006/metadata/properties" xmlns:ns2="abf2cb88-8ca1-4dee-a673-b8c4a971b5d2" targetNamespace="http://schemas.microsoft.com/office/2006/metadata/properties" ma:root="true" ma:fieldsID="054bbdf6a26d50da8aa07210194d7adc" ns2:_="">
    <xsd:import namespace="abf2cb88-8ca1-4dee-a673-b8c4a971b5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f2cb88-8ca1-4dee-a673-b8c4a971b5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02CD8B-3B2C-48AD-BFE8-6324A19334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f2cb88-8ca1-4dee-a673-b8c4a971b5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D30488-12E8-4836-8FC4-E0E6C4AD31F5}">
  <ds:schemaRefs>
    <ds:schemaRef ds:uri="http://purl.org/dc/elements/1.1/"/>
    <ds:schemaRef ds:uri="http://schemas.microsoft.com/office/2006/documentManagement/types"/>
    <ds:schemaRef ds:uri="abf2cb88-8ca1-4dee-a673-b8c4a971b5d2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7257D9F-ED98-401C-BE84-FAD65870F3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Plan1</vt:lpstr>
      <vt:lpstr>Ficha de Solicitação</vt:lpstr>
      <vt:lpstr>CADASTRO</vt:lpstr>
      <vt:lpstr>VALOR FECHAMENTO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Fabiano</dc:creator>
  <cp:keywords/>
  <dc:description/>
  <cp:lastModifiedBy>Jose Carlos</cp:lastModifiedBy>
  <cp:revision/>
  <dcterms:created xsi:type="dcterms:W3CDTF">2018-11-23T10:26:51Z</dcterms:created>
  <dcterms:modified xsi:type="dcterms:W3CDTF">2025-03-16T01:43:38Z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0x010100CAB81DE5CE7BEC42897FF8D945727ED7</vt:lpwstr>
  </property>
</Properties>
</file>