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Celso\Desktop\"/>
    </mc:Choice>
  </mc:AlternateContent>
  <xr:revisionPtr revIDLastSave="0" documentId="8_{0AB8C188-13A1-4525-B35E-80A11BB43EB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ÁLCULO" sheetId="2" r:id="rId1"/>
    <sheet name="BASE MANIFESTO" sheetId="6" r:id="rId2"/>
    <sheet name="PONTOS" sheetId="4" r:id="rId3"/>
    <sheet name="CIDADES DA ROTA SETEMBRO 2024" sheetId="8" r:id="rId4"/>
    <sheet name="CIDADES DA ROTA" sheetId="3" r:id="rId5"/>
    <sheet name="ACRÉSCIMOS" sheetId="1" r:id="rId6"/>
    <sheet name="MOTORISTAS" sheetId="5" r:id="rId7"/>
    <sheet name="FECHAMENTO KM" sheetId="7" r:id="rId8"/>
  </sheets>
  <definedNames>
    <definedName name="_xlnm._FilterDatabase" localSheetId="5" hidden="1">ACRÉSCIMOS!$A$1:$B$119</definedName>
    <definedName name="_xlnm._FilterDatabase" localSheetId="2" hidden="1">PONTOS!$A$1:$A$1</definedName>
    <definedName name="_xlnm.Print_Area" localSheetId="0">CÁLCULO!$A$1:$Q$224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1" i="1" l="1"/>
  <c r="P210" i="2"/>
  <c r="P209" i="2"/>
  <c r="P208" i="2"/>
  <c r="P211" i="2" s="1"/>
  <c r="C207" i="2"/>
  <c r="C206" i="2"/>
  <c r="P203" i="2"/>
  <c r="P202" i="2"/>
  <c r="P201" i="2"/>
  <c r="P204" i="2" s="1"/>
  <c r="C200" i="2"/>
  <c r="C199" i="2"/>
  <c r="P196" i="2"/>
  <c r="P195" i="2"/>
  <c r="P194" i="2"/>
  <c r="P197" i="2" s="1"/>
  <c r="C193" i="2"/>
  <c r="C192" i="2"/>
  <c r="P189" i="2"/>
  <c r="P188" i="2"/>
  <c r="P187" i="2"/>
  <c r="P190" i="2" s="1"/>
  <c r="C186" i="2"/>
  <c r="C185" i="2"/>
  <c r="P182" i="2"/>
  <c r="P181" i="2"/>
  <c r="P180" i="2"/>
  <c r="P183" i="2" s="1"/>
  <c r="C179" i="2"/>
  <c r="C178" i="2"/>
  <c r="P175" i="2"/>
  <c r="P174" i="2"/>
  <c r="P173" i="2"/>
  <c r="P176" i="2" s="1"/>
  <c r="C172" i="2"/>
  <c r="C171" i="2"/>
  <c r="P168" i="2"/>
  <c r="P167" i="2"/>
  <c r="P166" i="2"/>
  <c r="P169" i="2" s="1"/>
  <c r="C165" i="2"/>
  <c r="C164" i="2"/>
  <c r="B148" i="1"/>
  <c r="B145" i="1"/>
  <c r="B142" i="1"/>
  <c r="B139" i="1"/>
  <c r="B55" i="1"/>
  <c r="C158" i="2"/>
  <c r="C157" i="2"/>
  <c r="C151" i="2"/>
  <c r="C150" i="2"/>
  <c r="C144" i="2"/>
  <c r="C143" i="2"/>
  <c r="C136" i="2"/>
  <c r="C137" i="2"/>
  <c r="P161" i="2"/>
  <c r="P160" i="2"/>
  <c r="P159" i="2"/>
  <c r="P162" i="2" s="1"/>
  <c r="P154" i="2"/>
  <c r="P153" i="2"/>
  <c r="P152" i="2"/>
  <c r="P155" i="2" s="1"/>
  <c r="P147" i="2"/>
  <c r="P146" i="2"/>
  <c r="P145" i="2"/>
  <c r="P148" i="2" s="1"/>
  <c r="P140" i="2"/>
  <c r="P139" i="2"/>
  <c r="P138" i="2"/>
  <c r="P141" i="2" s="1"/>
  <c r="D1" i="4"/>
  <c r="P133" i="2"/>
  <c r="P126" i="2"/>
  <c r="P119" i="2"/>
  <c r="P112" i="2"/>
  <c r="P105" i="2"/>
  <c r="P98" i="2"/>
  <c r="P91" i="2"/>
  <c r="P84" i="2"/>
  <c r="P77" i="2"/>
  <c r="P70" i="2"/>
  <c r="P63" i="2"/>
  <c r="P56" i="2"/>
  <c r="P49" i="2"/>
  <c r="P42" i="2"/>
  <c r="P35" i="2"/>
  <c r="P28" i="2"/>
  <c r="P21" i="2"/>
  <c r="P14" i="2"/>
  <c r="P7" i="2"/>
  <c r="C130" i="2"/>
  <c r="C129" i="2"/>
  <c r="C123" i="2"/>
  <c r="C122" i="2"/>
  <c r="C116" i="2"/>
  <c r="C115" i="2"/>
  <c r="C109" i="2"/>
  <c r="C108" i="2"/>
  <c r="C102" i="2"/>
  <c r="C101" i="2"/>
  <c r="C95" i="2"/>
  <c r="C94" i="2"/>
  <c r="C88" i="2"/>
  <c r="C87" i="2"/>
  <c r="P132" i="2"/>
  <c r="P131" i="2"/>
  <c r="P134" i="2" s="1"/>
  <c r="P125" i="2"/>
  <c r="P124" i="2"/>
  <c r="P127" i="2" s="1"/>
  <c r="P118" i="2"/>
  <c r="P117" i="2"/>
  <c r="P120" i="2" s="1"/>
  <c r="P111" i="2"/>
  <c r="P110" i="2"/>
  <c r="P113" i="2" s="1"/>
  <c r="P104" i="2"/>
  <c r="P103" i="2"/>
  <c r="P106" i="2" s="1"/>
  <c r="P97" i="2"/>
  <c r="P96" i="2"/>
  <c r="P99" i="2" s="1"/>
  <c r="P90" i="2"/>
  <c r="P89" i="2"/>
  <c r="P92" i="2" s="1"/>
  <c r="B136" i="1"/>
  <c r="B133" i="1"/>
  <c r="B134" i="1"/>
  <c r="B132" i="1"/>
  <c r="B131" i="1"/>
  <c r="P82" i="2"/>
  <c r="P75" i="2"/>
  <c r="P68" i="2"/>
  <c r="P61" i="2"/>
  <c r="P54" i="2"/>
  <c r="P47" i="2"/>
  <c r="P40" i="2"/>
  <c r="P33" i="2"/>
  <c r="P26" i="2"/>
  <c r="P19" i="2"/>
  <c r="P12" i="2"/>
  <c r="P5" i="2"/>
  <c r="L6" i="8" l="1"/>
  <c r="L11" i="8"/>
  <c r="L10" i="8"/>
  <c r="L9" i="8"/>
  <c r="L8" i="8"/>
  <c r="L7" i="8"/>
  <c r="L5" i="8"/>
  <c r="L4" i="8"/>
  <c r="L3" i="8"/>
  <c r="F16" i="7"/>
  <c r="F15" i="7"/>
  <c r="K6" i="7" s="1"/>
  <c r="K3" i="7"/>
  <c r="K8" i="7" s="1"/>
  <c r="B130" i="1"/>
  <c r="B129" i="1"/>
  <c r="B128" i="1"/>
  <c r="C81" i="2"/>
  <c r="C80" i="2"/>
  <c r="C74" i="2"/>
  <c r="C73" i="2"/>
  <c r="C67" i="2"/>
  <c r="C66" i="2"/>
  <c r="C60" i="2"/>
  <c r="C59" i="2"/>
  <c r="C53" i="2"/>
  <c r="C52" i="2"/>
  <c r="C46" i="2"/>
  <c r="C45" i="2"/>
  <c r="C39" i="2"/>
  <c r="C38" i="2"/>
  <c r="C32" i="2"/>
  <c r="C31" i="2"/>
  <c r="C25" i="2"/>
  <c r="C24" i="2"/>
  <c r="C18" i="2"/>
  <c r="C17" i="2"/>
  <c r="C11" i="2"/>
  <c r="C10" i="2"/>
  <c r="C3" i="2"/>
  <c r="C2" i="2"/>
  <c r="C127" i="1"/>
  <c r="B127" i="1" s="1"/>
  <c r="F14" i="7" l="1"/>
  <c r="K7" i="7" s="1"/>
  <c r="K10" i="7" s="1"/>
  <c r="B126" i="1"/>
  <c r="B125" i="1"/>
  <c r="P83" i="2"/>
  <c r="B120" i="1"/>
  <c r="B121" i="1"/>
  <c r="B122" i="1"/>
  <c r="B123" i="1"/>
  <c r="B124" i="1"/>
  <c r="B2" i="1"/>
  <c r="B3" i="1"/>
  <c r="L14" i="3"/>
  <c r="L13" i="3"/>
  <c r="L15" i="3"/>
  <c r="P85" i="2" l="1"/>
  <c r="P69" i="2"/>
  <c r="P62" i="2"/>
  <c r="P55" i="2"/>
  <c r="P76" i="2"/>
  <c r="P48" i="2"/>
  <c r="B4" i="1"/>
  <c r="B118" i="1"/>
  <c r="B119" i="1"/>
  <c r="B117" i="1"/>
  <c r="B116" i="1"/>
  <c r="P78" i="2" l="1"/>
  <c r="P50" i="2"/>
  <c r="B114" i="1"/>
  <c r="B115" i="1"/>
  <c r="B112" i="1"/>
  <c r="B113" i="1"/>
  <c r="B111" i="1"/>
  <c r="B110" i="1" l="1"/>
  <c r="B62" i="1"/>
  <c r="B109" i="1" l="1"/>
  <c r="B108" i="1" l="1"/>
  <c r="B107" i="1"/>
  <c r="B106" i="1" l="1"/>
  <c r="B105" i="1"/>
  <c r="B104" i="1" l="1"/>
  <c r="B103" i="1"/>
  <c r="B102" i="1"/>
  <c r="B101" i="1" l="1"/>
  <c r="B100" i="1"/>
  <c r="B99" i="1" l="1"/>
  <c r="B98" i="1" l="1"/>
  <c r="B97" i="1"/>
  <c r="B96" i="1"/>
  <c r="B95" i="1"/>
  <c r="B94" i="1"/>
  <c r="B93" i="1" l="1"/>
  <c r="B92" i="1"/>
  <c r="B91" i="1" l="1"/>
  <c r="P41" i="2" l="1"/>
  <c r="P34" i="2"/>
  <c r="P27" i="2"/>
  <c r="P20" i="2"/>
  <c r="P13" i="2"/>
  <c r="P6" i="2"/>
  <c r="B90" i="1"/>
  <c r="B89" i="1"/>
  <c r="P71" i="2"/>
  <c r="P43" i="2" l="1"/>
  <c r="P57" i="2"/>
  <c r="B88" i="1"/>
  <c r="B87" i="1"/>
  <c r="B86" i="1" l="1"/>
  <c r="B85" i="1" l="1"/>
  <c r="B84" i="1" l="1"/>
  <c r="B83" i="1"/>
  <c r="B75" i="1" l="1"/>
  <c r="B76" i="1"/>
  <c r="B77" i="1"/>
  <c r="B78" i="1"/>
  <c r="B79" i="1"/>
  <c r="B80" i="1"/>
  <c r="B81" i="1"/>
  <c r="B82" i="1"/>
  <c r="B68" i="1" l="1"/>
  <c r="P64" i="2" s="1"/>
  <c r="B74" i="1" l="1"/>
  <c r="C73" i="1" l="1"/>
  <c r="B73" i="1" s="1"/>
  <c r="C72" i="1" l="1"/>
  <c r="B72" i="1" s="1"/>
  <c r="B71" i="1"/>
  <c r="C70" i="1"/>
  <c r="B70" i="1" s="1"/>
  <c r="B69" i="1"/>
  <c r="B67" i="1" l="1"/>
  <c r="B5" i="1"/>
  <c r="P29" i="2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P15" i="2" s="1"/>
  <c r="B38" i="1"/>
  <c r="B39" i="1"/>
  <c r="B40" i="1"/>
  <c r="B41" i="1"/>
  <c r="B42" i="1"/>
  <c r="B43" i="1"/>
  <c r="B44" i="1"/>
  <c r="P36" i="2" s="1"/>
  <c r="B45" i="1"/>
  <c r="B46" i="1"/>
  <c r="B47" i="1"/>
  <c r="B48" i="1"/>
  <c r="B49" i="1"/>
  <c r="B50" i="1"/>
  <c r="B51" i="1"/>
  <c r="B52" i="1"/>
  <c r="B53" i="1"/>
  <c r="B54" i="1"/>
  <c r="B56" i="1"/>
  <c r="B57" i="1"/>
  <c r="B58" i="1"/>
  <c r="B59" i="1"/>
  <c r="B60" i="1"/>
  <c r="B61" i="1"/>
  <c r="B63" i="1"/>
  <c r="B64" i="1"/>
  <c r="B65" i="1"/>
  <c r="B66" i="1"/>
  <c r="P22" i="2" l="1"/>
  <c r="L4" i="3" l="1"/>
  <c r="L5" i="3"/>
  <c r="L6" i="3"/>
  <c r="L7" i="3"/>
  <c r="L8" i="3"/>
  <c r="L9" i="3"/>
  <c r="L10" i="3"/>
  <c r="L11" i="3"/>
  <c r="L12" i="3"/>
  <c r="L3" i="3"/>
  <c r="P8" i="2" l="1"/>
  <c r="C214" i="2" s="1"/>
</calcChain>
</file>

<file path=xl/sharedStrings.xml><?xml version="1.0" encoding="utf-8"?>
<sst xmlns="http://schemas.openxmlformats.org/spreadsheetml/2006/main" count="755" uniqueCount="249">
  <si>
    <t>FECHAMENTO DA QUINZENA</t>
  </si>
  <si>
    <t>DATA:</t>
  </si>
  <si>
    <t>MANIFESTO:</t>
  </si>
  <si>
    <t>MOTORISTA:</t>
  </si>
  <si>
    <t>CARLOS</t>
  </si>
  <si>
    <t>Pontos</t>
  </si>
  <si>
    <t>ACRÉSCIMOS</t>
  </si>
  <si>
    <t>Total Fixo</t>
  </si>
  <si>
    <t>Rota</t>
  </si>
  <si>
    <t>3.1</t>
  </si>
  <si>
    <t>LEME</t>
  </si>
  <si>
    <t>SJRPARDO</t>
  </si>
  <si>
    <t>Total pontos</t>
  </si>
  <si>
    <t>CIDADES ROTA:</t>
  </si>
  <si>
    <t>Acréscimos</t>
  </si>
  <si>
    <t>OBSERVAÇÃO:</t>
  </si>
  <si>
    <t>Total a receber</t>
  </si>
  <si>
    <t>ESPIRITO SANTO DOS PINHAL</t>
  </si>
  <si>
    <t>+</t>
  </si>
  <si>
    <t>VARGEM GRANDE DO SUL</t>
  </si>
  <si>
    <t>DEDICADO SÃO CARLOS</t>
  </si>
  <si>
    <t>PEDAGIO ARARAS/ SÃO CARLOS</t>
  </si>
  <si>
    <t>SERRANA</t>
  </si>
  <si>
    <t xml:space="preserve"> </t>
  </si>
  <si>
    <t>ARARAQUARA</t>
  </si>
  <si>
    <t>SÃO CARLOS</t>
  </si>
  <si>
    <t>TAQUARITINGA</t>
  </si>
  <si>
    <t>IBITINGA</t>
  </si>
  <si>
    <t>CASA BRANCA</t>
  </si>
  <si>
    <t>DEDICADO VALINHOS</t>
  </si>
  <si>
    <t>PEDAGIO VALINHOS</t>
  </si>
  <si>
    <t>3.3</t>
  </si>
  <si>
    <t>SJBV</t>
  </si>
  <si>
    <t>UBERLANDIA</t>
  </si>
  <si>
    <t>ROTA ARAÇATUBA</t>
  </si>
  <si>
    <t>PEDAGIO ROTA ARAÇATUBA</t>
  </si>
  <si>
    <t>DEDICADO JABOTICABAL/ BEBEDOURO</t>
  </si>
  <si>
    <t>PEDAGIO JABOT./ BEBEDOURO</t>
  </si>
  <si>
    <t>ANDRADAS</t>
  </si>
  <si>
    <t>DEDICADO MIRASSOL</t>
  </si>
  <si>
    <t>PEDAGIO MIRASSOL</t>
  </si>
  <si>
    <t>Total a receber no periodo</t>
  </si>
  <si>
    <t>Dados para emissao da nota:</t>
  </si>
  <si>
    <t>LOGMED ARMAZENAGEM E LOGISTICA LTDA</t>
  </si>
  <si>
    <t>CNPJ:09.303.268/0003-39</t>
  </si>
  <si>
    <t>IE: 797249956110</t>
  </si>
  <si>
    <t>RUA FARJALA MOISES Nº335</t>
  </si>
  <si>
    <t>BAIRRO: JARDIM CANDIDO PORTINARI</t>
  </si>
  <si>
    <t>CEP:14093-524</t>
  </si>
  <si>
    <t>MANIFESTO</t>
  </si>
  <si>
    <t>DATA</t>
  </si>
  <si>
    <t>endereço</t>
  </si>
  <si>
    <t>QTDE. PONTOS</t>
  </si>
  <si>
    <t>AV LEONOR MENDES DE BARROS, 626</t>
  </si>
  <si>
    <t>CHAMPAGNAT,                    CONJ  211, 863</t>
  </si>
  <si>
    <t>PC DR FRANCISCO LESSA, 162 - CENTRO</t>
  </si>
  <si>
    <t>R CORONEL ERNESTO DE OLIVEIRA, 181</t>
  </si>
  <si>
    <t>R DONA MARIA JOSE, 379</t>
  </si>
  <si>
    <t>R JOAO PESSOA, 112</t>
  </si>
  <si>
    <t>R TEIXEIRA RIOS, 210</t>
  </si>
  <si>
    <t>RUA CAROLINA MALHEIROS, 92</t>
  </si>
  <si>
    <t>RUA CEARA - 2 TERREO FRENTE, 222</t>
  </si>
  <si>
    <t>RUA FRANCISQUINHO DIAS, 583</t>
  </si>
  <si>
    <t>RUA ORLANDO FRACARI, 730 - RECANTO DO BOSQ</t>
  </si>
  <si>
    <t>-</t>
  </si>
  <si>
    <t>ROTA</t>
  </si>
  <si>
    <t>VALOR FIXO</t>
  </si>
  <si>
    <t>CIDADES</t>
  </si>
  <si>
    <t>1.1</t>
  </si>
  <si>
    <t>S.J.DO RIO PRETO</t>
  </si>
  <si>
    <t>1.4</t>
  </si>
  <si>
    <t>BEBEDOURO</t>
  </si>
  <si>
    <t>BARRETOS</t>
  </si>
  <si>
    <t>OLIMPIA</t>
  </si>
  <si>
    <t>CATANDUVA</t>
  </si>
  <si>
    <t>SERTAOZINHO</t>
  </si>
  <si>
    <t>2.2</t>
  </si>
  <si>
    <t>FRANCA</t>
  </si>
  <si>
    <t>PASSOS</t>
  </si>
  <si>
    <t>SÃO SEBASTIAO DO PARAISO</t>
  </si>
  <si>
    <t>ALTINOPOLIS</t>
  </si>
  <si>
    <t>PIRASSUNUNGA</t>
  </si>
  <si>
    <t>SÃO JOÃO DA BOA VISTA</t>
  </si>
  <si>
    <t>POÇOS DE CALDAS</t>
  </si>
  <si>
    <t>GUAXUPE</t>
  </si>
  <si>
    <t>MOCOCA</t>
  </si>
  <si>
    <t>PORTO FERREIRA</t>
  </si>
  <si>
    <t>ALFENAS</t>
  </si>
  <si>
    <t>JAU</t>
  </si>
  <si>
    <t>BAURU</t>
  </si>
  <si>
    <t>PEDERNEIRAS</t>
  </si>
  <si>
    <t>ITUVERAVA</t>
  </si>
  <si>
    <t>ORLANDIA</t>
  </si>
  <si>
    <t>SÃO JOAQUIM DA BARRA</t>
  </si>
  <si>
    <t>UBERABA</t>
  </si>
  <si>
    <t>AMERICO</t>
  </si>
  <si>
    <t>MATAO</t>
  </si>
  <si>
    <t>JABOTICABAL</t>
  </si>
  <si>
    <t>RIBEIRAO PRETO</t>
  </si>
  <si>
    <t>RIBEIRÃO PRETO</t>
  </si>
  <si>
    <t>1.2</t>
  </si>
  <si>
    <t>1.3</t>
  </si>
  <si>
    <t>2.1</t>
  </si>
  <si>
    <t>BATATAIS</t>
  </si>
  <si>
    <t>3.2</t>
  </si>
  <si>
    <t>GUAXUPÉ</t>
  </si>
  <si>
    <t>VALOR ADICIONAL R$</t>
  </si>
  <si>
    <t>Distancia (km) da cabeça de rota</t>
  </si>
  <si>
    <t>EXTRA PIRASSUNGA</t>
  </si>
  <si>
    <t xml:space="preserve">EXTRA </t>
  </si>
  <si>
    <t>AGUDOS</t>
  </si>
  <si>
    <t>validar esse km depois</t>
  </si>
  <si>
    <t>AVARE</t>
  </si>
  <si>
    <t>BADY BASSIT</t>
  </si>
  <si>
    <t>BARIRI</t>
  </si>
  <si>
    <t>BOA ESPERANÇA</t>
  </si>
  <si>
    <t>BOTELHOS</t>
  </si>
  <si>
    <t>BOTUCATU</t>
  </si>
  <si>
    <t>BROTAS</t>
  </si>
  <si>
    <t>CEDRAL</t>
  </si>
  <si>
    <t>DESCALVADO</t>
  </si>
  <si>
    <t>DOIS CORREGOS</t>
  </si>
  <si>
    <t>DUARTINA</t>
  </si>
  <si>
    <t>ESTRELA D´OESTE</t>
  </si>
  <si>
    <t>FERNANDOPOLIS</t>
  </si>
  <si>
    <t>FORMIGA</t>
  </si>
  <si>
    <t>FRUTAL</t>
  </si>
  <si>
    <t>GUAIRA</t>
  </si>
  <si>
    <t>GUARACI</t>
  </si>
  <si>
    <t>GUARIBA</t>
  </si>
  <si>
    <t>ILHA SOLTEIRA</t>
  </si>
  <si>
    <t>IPUA</t>
  </si>
  <si>
    <t>ITAJU</t>
  </si>
  <si>
    <t>ITAMOGI</t>
  </si>
  <si>
    <t>ITAPOLIS</t>
  </si>
  <si>
    <t>ITIRAPUA</t>
  </si>
  <si>
    <t>JABORANDI</t>
  </si>
  <si>
    <t>JACI</t>
  </si>
  <si>
    <t>JALES</t>
  </si>
  <si>
    <t>LENÇOIS PAULISTA</t>
  </si>
  <si>
    <t>MACATUBA</t>
  </si>
  <si>
    <t>MIRASSOL</t>
  </si>
  <si>
    <t>MONTE ALTO</t>
  </si>
  <si>
    <t>MONTE APRAZIVEL</t>
  </si>
  <si>
    <t>NOVO HORIZONTE</t>
  </si>
  <si>
    <t>PALESTINA</t>
  </si>
  <si>
    <t>PIRANGI</t>
  </si>
  <si>
    <t>PIUMHI</t>
  </si>
  <si>
    <t>POTIRENDABA</t>
  </si>
  <si>
    <t>RINCAO</t>
  </si>
  <si>
    <t>Santa Ernestina</t>
  </si>
  <si>
    <t>SANTA FE DO SUL</t>
  </si>
  <si>
    <t>SANTA LUCIA</t>
  </si>
  <si>
    <t>SAO SIMAO</t>
  </si>
  <si>
    <t>RIBEIRAO BONITO</t>
  </si>
  <si>
    <t>SJRP</t>
  </si>
  <si>
    <t>TORRINHA</t>
  </si>
  <si>
    <t>VIRADOURO</t>
  </si>
  <si>
    <t>VOTUPORANGA</t>
  </si>
  <si>
    <t>MORRO AGUDO</t>
  </si>
  <si>
    <t>ITAJUBA</t>
  </si>
  <si>
    <t>SANTA CRUZ DAS PALMEIRAS</t>
  </si>
  <si>
    <t>SÃO PAULO</t>
  </si>
  <si>
    <t>SANTA CRUZ DA ESPERANÇA</t>
  </si>
  <si>
    <t>BARRA BONITA</t>
  </si>
  <si>
    <t>PIRATININGA</t>
  </si>
  <si>
    <t>CALDAS</t>
  </si>
  <si>
    <t xml:space="preserve">ELISIARIO </t>
  </si>
  <si>
    <t>AURIFLAMA</t>
  </si>
  <si>
    <t xml:space="preserve">JOSE BONIFACIO </t>
  </si>
  <si>
    <t>NHANDEARA</t>
  </si>
  <si>
    <t>CAJURU</t>
  </si>
  <si>
    <t>IACANGA</t>
  </si>
  <si>
    <t>NUPORANGA</t>
  </si>
  <si>
    <t>TAMBAU</t>
  </si>
  <si>
    <t>MINEIROS DO TIETE</t>
  </si>
  <si>
    <t>PARAISO</t>
  </si>
  <si>
    <t>JARDINOPOLIS</t>
  </si>
  <si>
    <t>AGUAS DA PRATA</t>
  </si>
  <si>
    <t>IBIRÁ</t>
  </si>
  <si>
    <t>PITANGUEIRAS</t>
  </si>
  <si>
    <t>MACHADO</t>
  </si>
  <si>
    <t>CAMPESTRE</t>
  </si>
  <si>
    <t>NOVA GRANADA</t>
  </si>
  <si>
    <t>MUZAMBINHO</t>
  </si>
  <si>
    <t>DOURADO</t>
  </si>
  <si>
    <t>SACRAMENTO</t>
  </si>
  <si>
    <t>PIRAJUI</t>
  </si>
  <si>
    <t>TERRA ROXA</t>
  </si>
  <si>
    <t>AGUAI</t>
  </si>
  <si>
    <t>SANTA RITA DO PASSA 4</t>
  </si>
  <si>
    <t>SÃO MANUEL</t>
  </si>
  <si>
    <t>ITAPUI</t>
  </si>
  <si>
    <t>ARAGUARI</t>
  </si>
  <si>
    <t>IBIRA</t>
  </si>
  <si>
    <t xml:space="preserve">PARAISO </t>
  </si>
  <si>
    <t>PEREIRA BARRETO</t>
  </si>
  <si>
    <t>IGARAPAVA</t>
  </si>
  <si>
    <t>CACONDE</t>
  </si>
  <si>
    <t>SSGRAMA</t>
  </si>
  <si>
    <t>IBITIURA DE MINAS</t>
  </si>
  <si>
    <t>BOCAINA</t>
  </si>
  <si>
    <t>BURITIZAL</t>
  </si>
  <si>
    <t>TABAPUA</t>
  </si>
  <si>
    <t>DIVINOLANDIA</t>
  </si>
  <si>
    <t>EXTRA RIBEIRÃO PRETO</t>
  </si>
  <si>
    <t>SJRP SABADO</t>
  </si>
  <si>
    <t>URGENCIA UBERLANDIA</t>
  </si>
  <si>
    <t>ARAÇATUBA</t>
  </si>
  <si>
    <t>PIRASSUNUNGA/ LEME</t>
  </si>
  <si>
    <t>URUPES</t>
  </si>
  <si>
    <t>EXTRA CRAVINHOS/ RIBEIRÃO</t>
  </si>
  <si>
    <t>EXTRA ARARAQUARA</t>
  </si>
  <si>
    <t>PEDREGULHOS</t>
  </si>
  <si>
    <t>ITOBI</t>
  </si>
  <si>
    <t>EXTRA ESTACIONAMENTO</t>
  </si>
  <si>
    <t>KM 24/03</t>
  </si>
  <si>
    <t>PEDAGIO 15/10</t>
  </si>
  <si>
    <t>HOMERO</t>
  </si>
  <si>
    <t>CRISTIANO</t>
  </si>
  <si>
    <t>ALTAIR</t>
  </si>
  <si>
    <t>DANIEL</t>
  </si>
  <si>
    <t>ELAINE</t>
  </si>
  <si>
    <t>ALEXANDRE</t>
  </si>
  <si>
    <t>ILSON</t>
  </si>
  <si>
    <t>LUIS FERNANDO</t>
  </si>
  <si>
    <t>ROGERIO</t>
  </si>
  <si>
    <t>MATHEUS</t>
  </si>
  <si>
    <t>EURIPEDES SILVA</t>
  </si>
  <si>
    <t>LEANDRO TRIVILIN</t>
  </si>
  <si>
    <t>FRANCISCO</t>
  </si>
  <si>
    <t>CLT</t>
  </si>
  <si>
    <t>RUBENS</t>
  </si>
  <si>
    <t>KLEBER</t>
  </si>
  <si>
    <t>KM INICIAL</t>
  </si>
  <si>
    <t>KM FINAL</t>
  </si>
  <si>
    <t xml:space="preserve">KM DIA </t>
  </si>
  <si>
    <t>PONTOS</t>
  </si>
  <si>
    <t>PEDAGIO</t>
  </si>
  <si>
    <t>Valor KM</t>
  </si>
  <si>
    <t>Valor Ponto</t>
  </si>
  <si>
    <t>Total Pedagio</t>
  </si>
  <si>
    <t>VALOR A PAGAR POR PONTO</t>
  </si>
  <si>
    <t>VALOR A A PAGAR POR KM</t>
  </si>
  <si>
    <t>VALOR A PAGAR DE PEDAGIO</t>
  </si>
  <si>
    <t>TOTAL A SER PAGO</t>
  </si>
  <si>
    <t>TOTAL KM</t>
  </si>
  <si>
    <t>TOTAL DE PONTOS</t>
  </si>
  <si>
    <t>TOTAL DE PEDAGIOS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</si>
</sst>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0" borderId="1" xfId="0" applyFont="1" applyBorder="1"/>
    <xf numFmtId="0" fontId="0" fillId="0" borderId="1" xfId="0" applyBorder="1"/>
    <xf numFmtId="164" fontId="0" fillId="0" borderId="1" xfId="1" applyFont="1" applyBorder="1" applyAlignment="1">
      <alignment horizontal="left"/>
    </xf>
    <xf numFmtId="0" fontId="4" fillId="3" borderId="0" xfId="0" applyFont="1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2" applyNumberFormat="1" applyFont="1" applyAlignment="1">
      <alignment vertical="center"/>
    </xf>
    <xf numFmtId="165" fontId="2" fillId="0" borderId="0" xfId="2" applyNumberFormat="1" applyFont="1" applyAlignment="1">
      <alignment vertical="center"/>
    </xf>
    <xf numFmtId="165" fontId="2" fillId="5" borderId="0" xfId="2" applyNumberFormat="1" applyFont="1" applyFill="1" applyAlignment="1">
      <alignment vertical="center"/>
    </xf>
    <xf numFmtId="1" fontId="0" fillId="4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1" fontId="2" fillId="2" borderId="0" xfId="0" applyNumberFormat="1" applyFont="1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165" fontId="2" fillId="0" borderId="0" xfId="2" applyNumberFormat="1" applyFont="1" applyFill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164" fontId="0" fillId="4" borderId="1" xfId="1" applyFont="1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65" fontId="0" fillId="0" borderId="0" xfId="0" applyNumberFormat="1"/>
    <xf numFmtId="0" fontId="0" fillId="2" borderId="0" xfId="0" applyFill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2" fillId="7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7" borderId="1" xfId="0" applyFill="1" applyBorder="1" applyAlignment="1">
      <alignment horizontal="center"/>
    </xf>
    <xf numFmtId="2" fontId="0" fillId="0" borderId="1" xfId="0" applyNumberFormat="1" applyBorder="1"/>
    <xf numFmtId="164" fontId="2" fillId="0" borderId="1" xfId="1" applyFont="1" applyFill="1" applyBorder="1" applyAlignment="1"/>
    <xf numFmtId="44" fontId="2" fillId="0" borderId="1" xfId="0" applyNumberFormat="1" applyFont="1" applyBorder="1"/>
    <xf numFmtId="0" fontId="0" fillId="8" borderId="1" xfId="0" applyFill="1" applyBorder="1"/>
    <xf numFmtId="2" fontId="0" fillId="8" borderId="1" xfId="0" applyNumberFormat="1" applyFill="1" applyBorder="1"/>
    <xf numFmtId="0" fontId="0" fillId="9" borderId="1" xfId="0" applyFill="1" applyBorder="1" applyAlignment="1">
      <alignment horizontal="left"/>
    </xf>
    <xf numFmtId="164" fontId="0" fillId="9" borderId="1" xfId="1" applyFont="1" applyFill="1" applyBorder="1" applyAlignment="1">
      <alignment horizontal="left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6" fillId="0" borderId="0" xfId="0" applyFont="1" applyAlignment="1">
      <alignment vertic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4" fillId="3" borderId="0" xfId="0" applyFont="1" applyFill="1" applyAlignment="1">
      <alignment horizontal="center" vertical="center" wrapText="1"/>
    </xf>
    <xf numFmtId="165" fontId="2" fillId="5" borderId="0" xfId="2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1771650</xdr:colOff>
      <xdr:row>0</xdr:row>
      <xdr:rowOff>951278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FD364B-5134-4650-BCBB-E5A19155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5" y="0"/>
          <a:ext cx="1771650" cy="9512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1771650</xdr:colOff>
      <xdr:row>0</xdr:row>
      <xdr:rowOff>951278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50" y="0"/>
          <a:ext cx="1771650" cy="9512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B1:T224"/>
  <sheetViews>
    <sheetView showGridLines="0" tabSelected="1" topLeftCell="A151" workbookViewId="0">
      <selection activeCell="I160" sqref="I160"/>
    </sheetView>
  </sheetViews>
  <sheetFormatPr defaultRowHeight="15" x14ac:dyDescent="0.25"/>
  <cols>
    <col min="1" max="1" width="2.140625" customWidth="1"/>
    <col min="2" max="2" width="11.5703125" customWidth="1"/>
    <col min="3" max="3" width="11" customWidth="1"/>
    <col min="4" max="4" width="1.140625" customWidth="1"/>
    <col min="5" max="5" width="25.7109375" customWidth="1"/>
    <col min="6" max="6" width="2" bestFit="1" customWidth="1"/>
    <col min="7" max="7" width="9.140625" customWidth="1"/>
    <col min="8" max="8" width="2" customWidth="1"/>
    <col min="9" max="9" width="16.7109375" customWidth="1"/>
    <col min="10" max="10" width="2" bestFit="1" customWidth="1"/>
    <col min="11" max="11" width="18.7109375" customWidth="1"/>
    <col min="12" max="12" width="2.28515625" customWidth="1"/>
    <col min="13" max="13" width="10.28515625" customWidth="1"/>
    <col min="14" max="14" width="1.140625" customWidth="1"/>
    <col min="15" max="15" width="16" customWidth="1"/>
    <col min="16" max="16" width="10.140625" style="19" customWidth="1"/>
    <col min="17" max="17" width="8.140625" customWidth="1"/>
    <col min="20" max="20" width="10.7109375" bestFit="1" customWidth="1"/>
  </cols>
  <sheetData>
    <row r="1" spans="2:20" ht="29.25" customHeight="1" x14ac:dyDescent="0.25">
      <c r="C1" s="61" t="s">
        <v>0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56"/>
    </row>
    <row r="2" spans="2:20" x14ac:dyDescent="0.25">
      <c r="B2" t="s">
        <v>1</v>
      </c>
      <c r="C2" s="23">
        <f>IF(AND('BASE MANIFESTO'!B2=""), "", 'BASE MANIFESTO'!B2)</f>
        <v>45992</v>
      </c>
    </row>
    <row r="3" spans="2:20" x14ac:dyDescent="0.25">
      <c r="B3" t="s">
        <v>2</v>
      </c>
      <c r="C3" s="42">
        <f>IF(AND('BASE MANIFESTO'!A2=""), "", 'BASE MANIFESTO'!A2)</f>
        <v>260574</v>
      </c>
    </row>
    <row r="4" spans="2:20" x14ac:dyDescent="0.25">
      <c r="B4" t="s">
        <v>3</v>
      </c>
      <c r="C4" s="28" t="s">
        <v>4</v>
      </c>
    </row>
    <row r="5" spans="2:20" x14ac:dyDescent="0.25">
      <c r="B5" s="8" t="s">
        <v>5</v>
      </c>
      <c r="C5" s="2">
        <v>10</v>
      </c>
      <c r="E5" s="57" t="s">
        <v>6</v>
      </c>
      <c r="F5" s="57"/>
      <c r="G5" s="57"/>
      <c r="H5" s="57"/>
      <c r="I5" s="57"/>
      <c r="J5" s="57"/>
      <c r="K5" s="57"/>
      <c r="L5" s="57"/>
      <c r="M5" s="57"/>
      <c r="N5" s="24"/>
      <c r="O5" s="8" t="s">
        <v>7</v>
      </c>
      <c r="P5" s="20">
        <f>IFERROR(VLOOKUP(C6,'CIDADES DA ROTA SETEMBRO 2024'!B:C,2,0),0)</f>
        <v>500</v>
      </c>
    </row>
    <row r="6" spans="2:20" ht="15" customHeight="1" x14ac:dyDescent="0.25">
      <c r="B6" s="8" t="s">
        <v>8</v>
      </c>
      <c r="C6" s="2" t="s">
        <v>9</v>
      </c>
      <c r="E6" s="55" t="s">
        <v>10</v>
      </c>
      <c r="F6" s="25"/>
      <c r="G6" s="55" t="s">
        <v>11</v>
      </c>
      <c r="H6" s="24"/>
      <c r="I6" s="55"/>
      <c r="J6" s="24"/>
      <c r="K6" s="55"/>
      <c r="L6" s="55"/>
      <c r="M6" s="6"/>
      <c r="O6" s="8" t="s">
        <v>12</v>
      </c>
      <c r="P6" s="20">
        <f>C5*7</f>
        <v>70</v>
      </c>
    </row>
    <row r="7" spans="2:20" x14ac:dyDescent="0.25">
      <c r="B7" t="s">
        <v>13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O7" s="8" t="s">
        <v>14</v>
      </c>
      <c r="P7" s="20">
        <f>IFERROR(VLOOKUP(E6,ACRÉSCIMOS!A:B,2,0),0)+IFERROR(VLOOKUP(G6,ACRÉSCIMOS!A:B,2,0),0)+IFERROR(VLOOKUP(I6,ACRÉSCIMOS!A:B,2,0),0)+IFERROR(VLOOKUP(M6,ACRÉSCIMOS!A:B,2,0),0)+IFERROR(VLOOKUP(K6,ACRÉSCIMOS!A:B,2,0),0)</f>
        <v>143.82</v>
      </c>
    </row>
    <row r="8" spans="2:20" ht="15" customHeight="1" x14ac:dyDescent="0.25">
      <c r="B8" s="11" t="s">
        <v>15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O8" s="8" t="s">
        <v>16</v>
      </c>
      <c r="P8" s="21">
        <f>SUM(P5:P7)</f>
        <v>713.81999999999994</v>
      </c>
    </row>
    <row r="9" spans="2:20" x14ac:dyDescent="0.25"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2:20" x14ac:dyDescent="0.25">
      <c r="B10" t="s">
        <v>1</v>
      </c>
      <c r="C10" s="23">
        <f>IF(AND('BASE MANIFESTO'!B3=""), "", 'BASE MANIFESTO'!B3)</f>
        <v>45993</v>
      </c>
    </row>
    <row r="11" spans="2:20" x14ac:dyDescent="0.25">
      <c r="B11" t="s">
        <v>2</v>
      </c>
      <c r="C11" s="42">
        <f>IF(AND('BASE MANIFESTO'!A3=""), "", 'BASE MANIFESTO'!A3)</f>
        <v>260807</v>
      </c>
    </row>
    <row r="12" spans="2:20" x14ac:dyDescent="0.25">
      <c r="B12" s="8" t="s">
        <v>5</v>
      </c>
      <c r="C12" s="2">
        <v>9</v>
      </c>
      <c r="E12" s="57" t="s">
        <v>6</v>
      </c>
      <c r="F12" s="57"/>
      <c r="G12" s="57"/>
      <c r="H12" s="57"/>
      <c r="I12" s="57"/>
      <c r="J12" s="57"/>
      <c r="K12" s="57"/>
      <c r="L12" s="57"/>
      <c r="M12" s="57"/>
      <c r="N12" s="24"/>
      <c r="O12" s="8" t="s">
        <v>7</v>
      </c>
      <c r="P12" s="20">
        <f>IFERROR(VLOOKUP(C13,'CIDADES DA ROTA SETEMBRO 2024'!B:C,2,0),0)</f>
        <v>500</v>
      </c>
    </row>
    <row r="13" spans="2:20" ht="15" customHeight="1" x14ac:dyDescent="0.25">
      <c r="B13" s="8" t="s">
        <v>8</v>
      </c>
      <c r="C13" s="2" t="s">
        <v>9</v>
      </c>
      <c r="E13" s="55" t="s">
        <v>17</v>
      </c>
      <c r="F13" s="25"/>
      <c r="G13" s="55"/>
      <c r="H13" s="24"/>
      <c r="I13" s="6"/>
      <c r="J13" s="24" t="s">
        <v>18</v>
      </c>
      <c r="K13" s="6"/>
      <c r="L13" s="6"/>
      <c r="M13" s="6"/>
      <c r="O13" s="8" t="s">
        <v>12</v>
      </c>
      <c r="P13" s="20">
        <f>C12*7</f>
        <v>63</v>
      </c>
    </row>
    <row r="14" spans="2:20" x14ac:dyDescent="0.25">
      <c r="B14" t="s">
        <v>13</v>
      </c>
      <c r="O14" s="8" t="s">
        <v>14</v>
      </c>
      <c r="P14" s="20">
        <f>IFERROR(VLOOKUP(E13,ACRÉSCIMOS!A:B,2,0),0)+IFERROR(VLOOKUP(G13,ACRÉSCIMOS!A:B,2,0),0)+IFERROR(VLOOKUP(I13,ACRÉSCIMOS!A:B,2,0),0)+IFERROR(VLOOKUP(M13,ACRÉSCIMOS!A:B,2,0),0)+IFERROR(VLOOKUP(K13,ACRÉSCIMOS!A:B,2,0),0)</f>
        <v>63.24</v>
      </c>
      <c r="R14" s="39"/>
      <c r="T14" s="43"/>
    </row>
    <row r="15" spans="2:20" ht="12" customHeight="1" x14ac:dyDescent="0.25">
      <c r="B15" s="11" t="s">
        <v>15</v>
      </c>
      <c r="C15" s="38"/>
      <c r="D15" s="38"/>
      <c r="E15" s="38"/>
      <c r="F15" s="26"/>
      <c r="G15" s="26"/>
      <c r="H15" s="26"/>
      <c r="I15" s="26"/>
      <c r="J15" s="26"/>
      <c r="K15" s="26"/>
      <c r="L15" s="26"/>
      <c r="M15" s="26"/>
      <c r="O15" s="8" t="s">
        <v>16</v>
      </c>
      <c r="P15" s="21">
        <f>SUM(P12:P14)</f>
        <v>626.24</v>
      </c>
      <c r="T15" s="43"/>
    </row>
    <row r="16" spans="2:20" x14ac:dyDescent="0.25">
      <c r="T16" s="43"/>
    </row>
    <row r="17" spans="2:20" x14ac:dyDescent="0.25">
      <c r="B17" t="s">
        <v>1</v>
      </c>
      <c r="C17" s="23">
        <f>IF(AND('BASE MANIFESTO'!B4=""), "", 'BASE MANIFESTO'!B4)</f>
        <v>45995</v>
      </c>
      <c r="T17" s="43"/>
    </row>
    <row r="18" spans="2:20" x14ac:dyDescent="0.25">
      <c r="B18" t="s">
        <v>2</v>
      </c>
      <c r="C18" s="42">
        <f>IF(AND('BASE MANIFESTO'!A4=""), "", 'BASE MANIFESTO'!A4)</f>
        <v>261273</v>
      </c>
      <c r="T18" s="43"/>
    </row>
    <row r="19" spans="2:20" x14ac:dyDescent="0.25">
      <c r="B19" s="8" t="s">
        <v>5</v>
      </c>
      <c r="C19" s="2">
        <v>12</v>
      </c>
      <c r="E19" s="57" t="s">
        <v>6</v>
      </c>
      <c r="F19" s="57"/>
      <c r="G19" s="57"/>
      <c r="H19" s="57"/>
      <c r="I19" s="57"/>
      <c r="J19" s="57"/>
      <c r="K19" s="57"/>
      <c r="L19" s="57"/>
      <c r="M19" s="57"/>
      <c r="N19" s="24"/>
      <c r="O19" s="8" t="s">
        <v>7</v>
      </c>
      <c r="P19" s="20">
        <f>IFERROR(VLOOKUP(C20,'CIDADES DA ROTA SETEMBRO 2024'!B:C,2,0),0)</f>
        <v>500</v>
      </c>
      <c r="T19" s="43"/>
    </row>
    <row r="20" spans="2:20" ht="30" x14ac:dyDescent="0.25">
      <c r="B20" s="8" t="s">
        <v>8</v>
      </c>
      <c r="C20" s="2" t="s">
        <v>9</v>
      </c>
      <c r="E20" s="55" t="s">
        <v>11</v>
      </c>
      <c r="F20" s="25"/>
      <c r="G20" s="6" t="s">
        <v>19</v>
      </c>
      <c r="H20" s="24"/>
      <c r="I20" s="55" t="s">
        <v>17</v>
      </c>
      <c r="J20" s="24" t="s">
        <v>18</v>
      </c>
      <c r="K20" s="55"/>
      <c r="L20" s="55"/>
      <c r="M20" s="55"/>
      <c r="O20" s="8" t="s">
        <v>12</v>
      </c>
      <c r="P20" s="20">
        <f>C19*7</f>
        <v>84</v>
      </c>
      <c r="T20" s="43"/>
    </row>
    <row r="21" spans="2:20" x14ac:dyDescent="0.25">
      <c r="B21" t="s">
        <v>13</v>
      </c>
      <c r="D21" s="9"/>
      <c r="E21" s="9"/>
      <c r="F21" s="9"/>
      <c r="G21" s="9"/>
      <c r="H21" s="9"/>
      <c r="I21" s="9"/>
      <c r="J21" s="9"/>
      <c r="K21" s="9"/>
      <c r="L21" s="9"/>
      <c r="M21" s="9"/>
      <c r="O21" s="8" t="s">
        <v>14</v>
      </c>
      <c r="P21" s="20">
        <f>IFERROR(VLOOKUP(E20,ACRÉSCIMOS!A:B,2,0),0)+IFERROR(VLOOKUP(G20,ACRÉSCIMOS!A:B,2,0),0)+IFERROR(VLOOKUP(I20,ACRÉSCIMOS!A:B,2,0),0)+IFERROR(VLOOKUP(M20,ACRÉSCIMOS!A:B,2,0),0)+IFERROR(VLOOKUP(K20,ACRÉSCIMOS!A:B,2,0),0)</f>
        <v>211.14000000000001</v>
      </c>
      <c r="T21" s="43"/>
    </row>
    <row r="22" spans="2:20" x14ac:dyDescent="0.25">
      <c r="B22" s="11" t="s">
        <v>15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O22" s="8" t="s">
        <v>16</v>
      </c>
      <c r="P22" s="21">
        <f>SUM(P19:P21)</f>
        <v>795.14</v>
      </c>
      <c r="T22" s="43"/>
    </row>
    <row r="23" spans="2:20" x14ac:dyDescent="0.25">
      <c r="T23" s="43"/>
    </row>
    <row r="24" spans="2:20" x14ac:dyDescent="0.25">
      <c r="B24" t="s">
        <v>1</v>
      </c>
      <c r="C24" s="23">
        <f>IF(AND('BASE MANIFESTO'!B5=""), "", 'BASE MANIFESTO'!B5)</f>
        <v>45996</v>
      </c>
    </row>
    <row r="25" spans="2:20" x14ac:dyDescent="0.25">
      <c r="B25" t="s">
        <v>2</v>
      </c>
      <c r="C25" s="42">
        <f>IF(AND('BASE MANIFESTO'!A5=""), "", 'BASE MANIFESTO'!A5)</f>
        <v>261498</v>
      </c>
    </row>
    <row r="26" spans="2:20" x14ac:dyDescent="0.25">
      <c r="B26" s="8" t="s">
        <v>5</v>
      </c>
      <c r="C26" s="2">
        <v>11</v>
      </c>
      <c r="E26" s="57" t="s">
        <v>6</v>
      </c>
      <c r="F26" s="57"/>
      <c r="G26" s="57"/>
      <c r="H26" s="57"/>
      <c r="I26" s="57"/>
      <c r="J26" s="57"/>
      <c r="K26" s="57"/>
      <c r="L26" s="57"/>
      <c r="M26" s="57"/>
      <c r="N26" s="24"/>
      <c r="O26" s="8" t="s">
        <v>7</v>
      </c>
      <c r="P26" s="20">
        <f>IFERROR(VLOOKUP(C27,'CIDADES DA ROTA SETEMBRO 2024'!B:C,2,0),0)</f>
        <v>500</v>
      </c>
    </row>
    <row r="27" spans="2:20" ht="30" x14ac:dyDescent="0.25">
      <c r="B27" s="8" t="s">
        <v>8</v>
      </c>
      <c r="C27" s="2" t="s">
        <v>9</v>
      </c>
      <c r="E27" s="55" t="s">
        <v>17</v>
      </c>
      <c r="F27" s="25"/>
      <c r="G27" s="6" t="s">
        <v>11</v>
      </c>
      <c r="H27" s="24"/>
      <c r="I27" s="55"/>
      <c r="J27" s="24"/>
      <c r="K27" s="55"/>
      <c r="L27" s="55"/>
      <c r="M27" s="6"/>
      <c r="O27" s="8" t="s">
        <v>12</v>
      </c>
      <c r="P27" s="20">
        <f>C26*7</f>
        <v>77</v>
      </c>
    </row>
    <row r="28" spans="2:20" x14ac:dyDescent="0.25">
      <c r="B28" t="s">
        <v>13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O28" s="8" t="s">
        <v>14</v>
      </c>
      <c r="P28" s="20">
        <f>IFERROR(VLOOKUP(E27,ACRÉSCIMOS!A:B,2,0),0)+IFERROR(VLOOKUP(G27,ACRÉSCIMOS!A:B,2,0),0)+IFERROR(VLOOKUP(I27,ACRÉSCIMOS!A:B,2,0),0)+IFERROR(VLOOKUP(M27,ACRÉSCIMOS!A:B,2,0),0)+IFERROR(VLOOKUP(K27,ACRÉSCIMOS!A:B,2,0),0)</f>
        <v>115.26</v>
      </c>
    </row>
    <row r="29" spans="2:20" x14ac:dyDescent="0.25">
      <c r="B29" s="11" t="s">
        <v>15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O29" s="8" t="s">
        <v>16</v>
      </c>
      <c r="P29" s="21">
        <f>SUM(P26:P28)</f>
        <v>692.26</v>
      </c>
    </row>
    <row r="30" spans="2:20" ht="12.75" customHeight="1" x14ac:dyDescent="0.25"/>
    <row r="31" spans="2:20" x14ac:dyDescent="0.25">
      <c r="B31" t="s">
        <v>1</v>
      </c>
      <c r="C31" s="23">
        <f>IF(AND('BASE MANIFESTO'!B6=""), "", 'BASE MANIFESTO'!B6)</f>
        <v>45996</v>
      </c>
    </row>
    <row r="32" spans="2:20" x14ac:dyDescent="0.25">
      <c r="B32" t="s">
        <v>2</v>
      </c>
      <c r="C32" s="42">
        <f>IF(AND('BASE MANIFESTO'!A6=""), "", 'BASE MANIFESTO'!A6)</f>
        <v>261660</v>
      </c>
    </row>
    <row r="33" spans="2:16" x14ac:dyDescent="0.25">
      <c r="B33" s="8" t="s">
        <v>5</v>
      </c>
      <c r="C33" s="2">
        <v>2</v>
      </c>
      <c r="E33" s="57" t="s">
        <v>6</v>
      </c>
      <c r="F33" s="57"/>
      <c r="G33" s="57"/>
      <c r="H33" s="57"/>
      <c r="I33" s="57"/>
      <c r="J33" s="57"/>
      <c r="K33" s="57"/>
      <c r="L33" s="57"/>
      <c r="M33" s="57"/>
      <c r="N33" s="24"/>
      <c r="O33" s="8" t="s">
        <v>7</v>
      </c>
      <c r="P33" s="20">
        <f>IFERROR(VLOOKUP(C34,'CIDADES DA ROTA SETEMBRO 2024'!B:C,2,0),0)</f>
        <v>0</v>
      </c>
    </row>
    <row r="34" spans="2:16" ht="15" customHeight="1" x14ac:dyDescent="0.25">
      <c r="B34" s="8" t="s">
        <v>8</v>
      </c>
      <c r="C34" s="2"/>
      <c r="E34" s="55" t="s">
        <v>20</v>
      </c>
      <c r="F34" s="25"/>
      <c r="G34" s="55" t="s">
        <v>21</v>
      </c>
      <c r="H34" s="24"/>
      <c r="I34" s="6"/>
      <c r="J34" s="24" t="s">
        <v>18</v>
      </c>
      <c r="K34" s="6"/>
      <c r="L34" s="6"/>
      <c r="M34" s="6"/>
      <c r="O34" s="8" t="s">
        <v>12</v>
      </c>
      <c r="P34" s="20">
        <f>C33*7</f>
        <v>14</v>
      </c>
    </row>
    <row r="35" spans="2:16" x14ac:dyDescent="0.25">
      <c r="B35" t="s">
        <v>13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O35" s="8" t="s">
        <v>14</v>
      </c>
      <c r="P35" s="20">
        <f>IFERROR(VLOOKUP(E34,ACRÉSCIMOS!A:B,2,0),0)+IFERROR(VLOOKUP(G34,ACRÉSCIMOS!A:B,2,0),0)+IFERROR(VLOOKUP(I34,ACRÉSCIMOS!A:B,2,0),0)+IFERROR(VLOOKUP(M34,ACRÉSCIMOS!A:B,2,0),0)+IFERROR(VLOOKUP(K34,ACRÉSCIMOS!A:B,2,0),0)</f>
        <v>451.12</v>
      </c>
    </row>
    <row r="36" spans="2:16" x14ac:dyDescent="0.25">
      <c r="B36" s="11" t="s">
        <v>15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O36" s="8" t="s">
        <v>16</v>
      </c>
      <c r="P36" s="21">
        <f>SUM(P33:P35)</f>
        <v>465.12</v>
      </c>
    </row>
    <row r="38" spans="2:16" x14ac:dyDescent="0.25">
      <c r="B38" t="s">
        <v>1</v>
      </c>
      <c r="C38" s="23">
        <f>IF(AND('BASE MANIFESTO'!B7=""), "", 'BASE MANIFESTO'!B7)</f>
        <v>45999</v>
      </c>
    </row>
    <row r="39" spans="2:16" x14ac:dyDescent="0.25">
      <c r="B39" t="s">
        <v>2</v>
      </c>
      <c r="C39" s="42">
        <f>IF(AND('BASE MANIFESTO'!A7=""), "", 'BASE MANIFESTO'!A7)</f>
        <v>261756</v>
      </c>
    </row>
    <row r="40" spans="2:16" x14ac:dyDescent="0.25">
      <c r="B40" s="8" t="s">
        <v>5</v>
      </c>
      <c r="C40" s="2">
        <v>8</v>
      </c>
      <c r="E40" s="57" t="s">
        <v>6</v>
      </c>
      <c r="F40" s="57"/>
      <c r="G40" s="57"/>
      <c r="H40" s="57"/>
      <c r="I40" s="57"/>
      <c r="J40" s="57"/>
      <c r="K40" s="57"/>
      <c r="L40" s="57"/>
      <c r="M40" s="57"/>
      <c r="N40" s="24"/>
      <c r="O40" s="8" t="s">
        <v>7</v>
      </c>
      <c r="P40" s="20">
        <f>IFERROR(VLOOKUP(C41,'CIDADES DA ROTA SETEMBRO 2024'!B:C,2,0),0)</f>
        <v>500</v>
      </c>
    </row>
    <row r="41" spans="2:16" x14ac:dyDescent="0.25">
      <c r="B41" s="8" t="s">
        <v>8</v>
      </c>
      <c r="C41" s="2" t="s">
        <v>9</v>
      </c>
      <c r="E41" s="55" t="s">
        <v>11</v>
      </c>
      <c r="F41" s="25"/>
      <c r="G41" s="55" t="s">
        <v>10</v>
      </c>
      <c r="H41" s="24"/>
      <c r="I41" s="55"/>
      <c r="J41" s="24"/>
      <c r="K41" s="55"/>
      <c r="L41" s="55"/>
      <c r="M41" s="6"/>
      <c r="O41" s="8" t="s">
        <v>12</v>
      </c>
      <c r="P41" s="20">
        <f>C40*7</f>
        <v>56</v>
      </c>
    </row>
    <row r="42" spans="2:16" x14ac:dyDescent="0.25">
      <c r="B42" t="s">
        <v>13</v>
      </c>
      <c r="C42" s="9"/>
      <c r="O42" s="8" t="s">
        <v>14</v>
      </c>
      <c r="P42" s="20">
        <f>IFERROR(VLOOKUP(E41,ACRÉSCIMOS!A:B,2,0),0)+IFERROR(VLOOKUP(G41,ACRÉSCIMOS!A:B,2,0),0)+IFERROR(VLOOKUP(I41,ACRÉSCIMOS!A:B,2,0),0)+IFERROR(VLOOKUP(M41,ACRÉSCIMOS!A:B,2,0),0)+IFERROR(VLOOKUP(K41,ACRÉSCIMOS!A:B,2,0),0)</f>
        <v>143.82</v>
      </c>
    </row>
    <row r="43" spans="2:16" x14ac:dyDescent="0.25">
      <c r="B43" s="11" t="s">
        <v>15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O43" s="8" t="s">
        <v>16</v>
      </c>
      <c r="P43" s="21">
        <f>SUM(P40:P42)</f>
        <v>699.81999999999994</v>
      </c>
    </row>
    <row r="44" spans="2:16" x14ac:dyDescent="0.25">
      <c r="B44" s="11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O44" s="32"/>
      <c r="P44" s="33"/>
    </row>
    <row r="45" spans="2:16" x14ac:dyDescent="0.25">
      <c r="B45" t="s">
        <v>1</v>
      </c>
      <c r="C45" s="23">
        <f>IF(AND('BASE MANIFESTO'!B8=""), "", 'BASE MANIFESTO'!B8)</f>
        <v>46000</v>
      </c>
    </row>
    <row r="46" spans="2:16" x14ac:dyDescent="0.25">
      <c r="B46" t="s">
        <v>2</v>
      </c>
      <c r="C46" s="42">
        <f>IF(AND('BASE MANIFESTO'!A8=""), "", 'BASE MANIFESTO'!A8)</f>
        <v>261969</v>
      </c>
    </row>
    <row r="47" spans="2:16" x14ac:dyDescent="0.25">
      <c r="B47" s="8" t="s">
        <v>5</v>
      </c>
      <c r="C47" s="2">
        <v>11</v>
      </c>
      <c r="E47" s="57" t="s">
        <v>6</v>
      </c>
      <c r="F47" s="57"/>
      <c r="G47" s="57"/>
      <c r="H47" s="57"/>
      <c r="I47" s="57"/>
      <c r="J47" s="57"/>
      <c r="K47" s="57"/>
      <c r="L47" s="57"/>
      <c r="M47" s="57"/>
      <c r="N47" s="24"/>
      <c r="O47" s="8" t="s">
        <v>7</v>
      </c>
      <c r="P47" s="20">
        <f>IFERROR(VLOOKUP(C48,'CIDADES DA ROTA SETEMBRO 2024'!B:C,2,0),0)</f>
        <v>500</v>
      </c>
    </row>
    <row r="48" spans="2:16" ht="30" x14ac:dyDescent="0.25">
      <c r="B48" s="8" t="s">
        <v>8</v>
      </c>
      <c r="C48" s="2" t="s">
        <v>9</v>
      </c>
      <c r="E48" s="55" t="s">
        <v>22</v>
      </c>
      <c r="F48" s="25"/>
      <c r="G48" s="55" t="s">
        <v>11</v>
      </c>
      <c r="H48" s="24"/>
      <c r="I48" s="6"/>
      <c r="J48" s="24" t="s">
        <v>18</v>
      </c>
      <c r="K48" s="6"/>
      <c r="L48" s="6"/>
      <c r="M48" s="6"/>
      <c r="O48" s="8" t="s">
        <v>12</v>
      </c>
      <c r="P48" s="20">
        <f>C47*7</f>
        <v>77</v>
      </c>
    </row>
    <row r="49" spans="2:16" x14ac:dyDescent="0.25">
      <c r="B49" t="s">
        <v>13</v>
      </c>
      <c r="O49" s="8" t="s">
        <v>14</v>
      </c>
      <c r="P49" s="20">
        <f>IFERROR(VLOOKUP(E48,ACRÉSCIMOS!A:B,2,0),0)+IFERROR(VLOOKUP(G48,ACRÉSCIMOS!A:B,2,0),0)+IFERROR(VLOOKUP(I48,ACRÉSCIMOS!A:B,2,0),0)+IFERROR(VLOOKUP(M48,ACRÉSCIMOS!A:B,2,0),0)+IFERROR(VLOOKUP(K48,ACRÉSCIMOS!A:B,2,0),0)</f>
        <v>77.52000000000001</v>
      </c>
    </row>
    <row r="50" spans="2:16" x14ac:dyDescent="0.25">
      <c r="B50" s="11" t="s">
        <v>15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O50" s="8" t="s">
        <v>16</v>
      </c>
      <c r="P50" s="21">
        <f>SUM(P47:P49)</f>
        <v>654.52</v>
      </c>
    </row>
    <row r="51" spans="2:16" x14ac:dyDescent="0.25">
      <c r="B51" s="11"/>
      <c r="C51" s="26"/>
      <c r="D51" s="26"/>
      <c r="E51" s="26" t="s">
        <v>23</v>
      </c>
      <c r="F51" s="26"/>
      <c r="G51" s="26"/>
      <c r="H51" s="26"/>
      <c r="I51" s="26"/>
      <c r="J51" s="26"/>
      <c r="K51" s="26"/>
      <c r="L51" s="26"/>
      <c r="M51" s="26"/>
      <c r="O51" s="32"/>
      <c r="P51" s="33"/>
    </row>
    <row r="52" spans="2:16" x14ac:dyDescent="0.25">
      <c r="B52" t="s">
        <v>1</v>
      </c>
      <c r="C52" s="23">
        <f>IF(AND('BASE MANIFESTO'!B9=""), "", 'BASE MANIFESTO'!B9)</f>
        <v>46001</v>
      </c>
    </row>
    <row r="53" spans="2:16" x14ac:dyDescent="0.25">
      <c r="B53" t="s">
        <v>2</v>
      </c>
      <c r="C53" s="42">
        <f>IF(AND('BASE MANIFESTO'!A9=""), "", 'BASE MANIFESTO'!A9)</f>
        <v>262190</v>
      </c>
    </row>
    <row r="54" spans="2:16" x14ac:dyDescent="0.25">
      <c r="B54" s="8" t="s">
        <v>5</v>
      </c>
      <c r="C54" s="2">
        <v>9</v>
      </c>
      <c r="E54" s="57" t="s">
        <v>6</v>
      </c>
      <c r="F54" s="57"/>
      <c r="G54" s="57"/>
      <c r="H54" s="57"/>
      <c r="I54" s="57"/>
      <c r="J54" s="57"/>
      <c r="K54" s="57"/>
      <c r="L54" s="57"/>
      <c r="M54" s="57"/>
      <c r="N54" s="24"/>
      <c r="O54" s="8" t="s">
        <v>7</v>
      </c>
      <c r="P54" s="20">
        <f>IFERROR(VLOOKUP(C55,'CIDADES DA ROTA SETEMBRO 2024'!B:C,2,0),0)</f>
        <v>500</v>
      </c>
    </row>
    <row r="55" spans="2:16" ht="30" x14ac:dyDescent="0.25">
      <c r="B55" s="8" t="s">
        <v>8</v>
      </c>
      <c r="C55" s="2" t="s">
        <v>9</v>
      </c>
      <c r="E55" s="55" t="s">
        <v>17</v>
      </c>
      <c r="F55" s="25"/>
      <c r="G55" s="55" t="s">
        <v>11</v>
      </c>
      <c r="H55" s="24"/>
      <c r="I55" s="55"/>
      <c r="J55" s="24" t="s">
        <v>18</v>
      </c>
      <c r="K55" s="55"/>
      <c r="L55" s="55"/>
      <c r="M55" s="6"/>
      <c r="O55" s="8" t="s">
        <v>12</v>
      </c>
      <c r="P55" s="20">
        <f>C54*7</f>
        <v>63</v>
      </c>
    </row>
    <row r="56" spans="2:16" x14ac:dyDescent="0.25">
      <c r="B56" t="s">
        <v>13</v>
      </c>
      <c r="O56" s="8" t="s">
        <v>14</v>
      </c>
      <c r="P56" s="20">
        <f>IFERROR(VLOOKUP(E55,ACRÉSCIMOS!A:B,2,0),0)+IFERROR(VLOOKUP(G55,ACRÉSCIMOS!A:B,2,0),0)+IFERROR(VLOOKUP(I55,ACRÉSCIMOS!A:B,2,0),0)+IFERROR(VLOOKUP(M55,ACRÉSCIMOS!A:B,2,0),0)+IFERROR(VLOOKUP(K55,ACRÉSCIMOS!A:B,2,0),0)</f>
        <v>115.26</v>
      </c>
    </row>
    <row r="57" spans="2:16" x14ac:dyDescent="0.25">
      <c r="B57" s="11" t="s">
        <v>15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O57" s="8" t="s">
        <v>16</v>
      </c>
      <c r="P57" s="21">
        <f>SUM(P54:P56)</f>
        <v>678.26</v>
      </c>
    </row>
    <row r="58" spans="2:16" x14ac:dyDescent="0.25">
      <c r="B58" s="11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O58" s="32"/>
      <c r="P58" s="33"/>
    </row>
    <row r="59" spans="2:16" x14ac:dyDescent="0.25">
      <c r="B59" t="s">
        <v>1</v>
      </c>
      <c r="C59" s="23">
        <f>IF(AND('BASE MANIFESTO'!B10=""), "", 'BASE MANIFESTO'!B10)</f>
        <v>46001</v>
      </c>
    </row>
    <row r="60" spans="2:16" x14ac:dyDescent="0.25">
      <c r="B60" t="s">
        <v>2</v>
      </c>
      <c r="C60" s="42">
        <f>IF(AND('BASE MANIFESTO'!A10=""), "", 'BASE MANIFESTO'!A10)</f>
        <v>262199</v>
      </c>
    </row>
    <row r="61" spans="2:16" x14ac:dyDescent="0.25">
      <c r="B61" s="8" t="s">
        <v>5</v>
      </c>
      <c r="C61" s="2">
        <v>9</v>
      </c>
      <c r="E61" s="57" t="s">
        <v>6</v>
      </c>
      <c r="F61" s="57"/>
      <c r="G61" s="57"/>
      <c r="H61" s="57"/>
      <c r="I61" s="57"/>
      <c r="J61" s="57"/>
      <c r="K61" s="57"/>
      <c r="L61" s="57"/>
      <c r="M61" s="57"/>
      <c r="N61" s="24"/>
      <c r="O61" s="8" t="s">
        <v>7</v>
      </c>
      <c r="P61" s="20">
        <f>IFERROR(VLOOKUP(C62,'CIDADES DA ROTA SETEMBRO 2024'!B:C,2,0),0)</f>
        <v>300</v>
      </c>
    </row>
    <row r="62" spans="2:16" ht="13.5" customHeight="1" x14ac:dyDescent="0.25">
      <c r="B62" s="8" t="s">
        <v>8</v>
      </c>
      <c r="C62" s="2" t="s">
        <v>24</v>
      </c>
      <c r="E62" s="55" t="s">
        <v>25</v>
      </c>
      <c r="F62" s="25"/>
      <c r="G62" s="55" t="s">
        <v>26</v>
      </c>
      <c r="H62" s="24"/>
      <c r="I62" s="55"/>
      <c r="J62" s="24"/>
      <c r="K62" s="55"/>
      <c r="L62" s="55"/>
      <c r="M62" s="6"/>
      <c r="O62" s="8" t="s">
        <v>12</v>
      </c>
      <c r="P62" s="20">
        <f>C61*7</f>
        <v>63</v>
      </c>
    </row>
    <row r="63" spans="2:16" x14ac:dyDescent="0.25">
      <c r="B63" t="s">
        <v>13</v>
      </c>
      <c r="O63" s="8" t="s">
        <v>14</v>
      </c>
      <c r="P63" s="20">
        <f>IFERROR(VLOOKUP(E62,ACRÉSCIMOS!A:B,2,0),0)+IFERROR(VLOOKUP(G62,ACRÉSCIMOS!A:B,2,0),0)+IFERROR(VLOOKUP(I62,ACRÉSCIMOS!A:B,2,0),0)+IFERROR(VLOOKUP(M62,ACRÉSCIMOS!A:B,2,0),0)+IFERROR(VLOOKUP(K62,ACRÉSCIMOS!A:B,2,0),0)</f>
        <v>100.98</v>
      </c>
    </row>
    <row r="64" spans="2:16" x14ac:dyDescent="0.25">
      <c r="B64" s="11" t="s">
        <v>15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O64" s="8" t="s">
        <v>16</v>
      </c>
      <c r="P64" s="21">
        <f>SUM(P61:P63)</f>
        <v>463.98</v>
      </c>
    </row>
    <row r="65" spans="2:16" x14ac:dyDescent="0.25">
      <c r="B65" s="11"/>
      <c r="C65" s="26"/>
      <c r="D65" s="26"/>
      <c r="E65" s="26"/>
      <c r="F65" s="26"/>
      <c r="H65" s="26"/>
      <c r="I65" s="26"/>
      <c r="J65" s="26"/>
      <c r="K65" s="26"/>
      <c r="L65" s="26"/>
      <c r="M65" s="26"/>
      <c r="O65" s="32"/>
      <c r="P65" s="33"/>
    </row>
    <row r="66" spans="2:16" x14ac:dyDescent="0.25">
      <c r="B66" t="s">
        <v>1</v>
      </c>
      <c r="C66" s="23">
        <f>IF(AND('BASE MANIFESTO'!B11=""), "", 'BASE MANIFESTO'!B11)</f>
        <v>46002</v>
      </c>
    </row>
    <row r="67" spans="2:16" x14ac:dyDescent="0.25">
      <c r="B67" t="s">
        <v>2</v>
      </c>
      <c r="C67" s="42">
        <f>IF(AND('BASE MANIFESTO'!A11=""), "", 'BASE MANIFESTO'!A11)</f>
        <v>262422</v>
      </c>
    </row>
    <row r="68" spans="2:16" x14ac:dyDescent="0.25">
      <c r="B68" s="8" t="s">
        <v>5</v>
      </c>
      <c r="C68" s="2">
        <v>11</v>
      </c>
      <c r="E68" s="57" t="s">
        <v>6</v>
      </c>
      <c r="F68" s="57"/>
      <c r="G68" s="57"/>
      <c r="H68" s="57"/>
      <c r="I68" s="57"/>
      <c r="J68" s="57"/>
      <c r="K68" s="57"/>
      <c r="L68" s="57"/>
      <c r="M68" s="57"/>
      <c r="N68" s="24"/>
      <c r="O68" s="8" t="s">
        <v>7</v>
      </c>
      <c r="P68" s="20">
        <f>IFERROR(VLOOKUP(C69,'CIDADES DA ROTA SETEMBRO 2024'!B:C,2,0),0)</f>
        <v>500</v>
      </c>
    </row>
    <row r="69" spans="2:16" ht="15.75" customHeight="1" x14ac:dyDescent="0.25">
      <c r="B69" s="8" t="s">
        <v>8</v>
      </c>
      <c r="C69" s="2" t="s">
        <v>9</v>
      </c>
      <c r="E69" s="6" t="s">
        <v>11</v>
      </c>
      <c r="F69" s="25"/>
      <c r="G69" s="55"/>
      <c r="H69" s="24" t="s">
        <v>18</v>
      </c>
      <c r="I69" s="55"/>
      <c r="J69" s="24" t="s">
        <v>18</v>
      </c>
      <c r="K69" s="55"/>
      <c r="L69" s="55"/>
      <c r="M69" s="6"/>
      <c r="O69" s="8" t="s">
        <v>12</v>
      </c>
      <c r="P69" s="20">
        <f>C68*7</f>
        <v>77</v>
      </c>
    </row>
    <row r="70" spans="2:16" x14ac:dyDescent="0.25">
      <c r="B70" t="s">
        <v>13</v>
      </c>
      <c r="O70" s="8" t="s">
        <v>14</v>
      </c>
      <c r="P70" s="20">
        <f>IFERROR(VLOOKUP(E69,ACRÉSCIMOS!A:B,2,0),0)+IFERROR(VLOOKUP(G69,ACRÉSCIMOS!A:B,2,0),0)+IFERROR(VLOOKUP(I69,ACRÉSCIMOS!A:B,2,0),0)+IFERROR(VLOOKUP(M69,ACRÉSCIMOS!A:B,2,0),0)+IFERROR(VLOOKUP(K69,ACRÉSCIMOS!A:B,2,0),0)</f>
        <v>52.02</v>
      </c>
    </row>
    <row r="71" spans="2:16" x14ac:dyDescent="0.25">
      <c r="B71" s="11" t="s">
        <v>15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O71" s="8" t="s">
        <v>16</v>
      </c>
      <c r="P71" s="21">
        <f>SUM(P68:P70)</f>
        <v>629.02</v>
      </c>
    </row>
    <row r="72" spans="2:16" x14ac:dyDescent="0.25">
      <c r="B72" s="11"/>
      <c r="C72" s="26"/>
      <c r="D72" s="26"/>
      <c r="E72" s="26"/>
      <c r="F72" s="26"/>
      <c r="H72" s="26"/>
      <c r="I72" s="26"/>
      <c r="J72" s="26"/>
      <c r="K72" s="26"/>
      <c r="L72" s="26"/>
      <c r="M72" s="26"/>
      <c r="O72" s="32"/>
      <c r="P72" s="33"/>
    </row>
    <row r="73" spans="2:16" x14ac:dyDescent="0.25">
      <c r="B73" t="s">
        <v>1</v>
      </c>
      <c r="C73" s="23">
        <f>IF(AND('BASE MANIFESTO'!B12=""), "", 'BASE MANIFESTO'!B12)</f>
        <v>46002</v>
      </c>
    </row>
    <row r="74" spans="2:16" x14ac:dyDescent="0.25">
      <c r="B74" t="s">
        <v>2</v>
      </c>
      <c r="C74" s="42">
        <f>IF(AND('BASE MANIFESTO'!A12=""), "", 'BASE MANIFESTO'!A12)</f>
        <v>262430</v>
      </c>
    </row>
    <row r="75" spans="2:16" x14ac:dyDescent="0.25">
      <c r="B75" s="8" t="s">
        <v>5</v>
      </c>
      <c r="C75" s="2">
        <v>15</v>
      </c>
      <c r="E75" s="57" t="s">
        <v>6</v>
      </c>
      <c r="F75" s="57"/>
      <c r="G75" s="57"/>
      <c r="H75" s="57"/>
      <c r="I75" s="57"/>
      <c r="J75" s="57"/>
      <c r="K75" s="57"/>
      <c r="L75" s="57"/>
      <c r="M75" s="57"/>
      <c r="N75" s="24"/>
      <c r="O75" s="8" t="s">
        <v>7</v>
      </c>
      <c r="P75" s="20">
        <f>IFERROR(VLOOKUP(C76,'CIDADES DA ROTA SETEMBRO 2024'!B:C,2,0),0)</f>
        <v>300</v>
      </c>
    </row>
    <row r="76" spans="2:16" x14ac:dyDescent="0.25">
      <c r="B76" s="8" t="s">
        <v>8</v>
      </c>
      <c r="C76" s="2" t="s">
        <v>24</v>
      </c>
      <c r="E76" s="6" t="s">
        <v>27</v>
      </c>
      <c r="F76" s="25" t="s">
        <v>18</v>
      </c>
      <c r="G76" s="6"/>
      <c r="H76" s="24" t="s">
        <v>18</v>
      </c>
      <c r="I76" s="6"/>
      <c r="J76" s="24" t="s">
        <v>18</v>
      </c>
      <c r="K76" s="6"/>
      <c r="L76" s="6"/>
      <c r="M76" s="6"/>
      <c r="O76" s="8" t="s">
        <v>12</v>
      </c>
      <c r="P76" s="20">
        <f>C75*7</f>
        <v>105</v>
      </c>
    </row>
    <row r="77" spans="2:16" x14ac:dyDescent="0.25">
      <c r="B77" t="s">
        <v>13</v>
      </c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O77" s="8" t="s">
        <v>14</v>
      </c>
      <c r="P77" s="20">
        <f>IFERROR(VLOOKUP(E76,ACRÉSCIMOS!A:B,2,0),0)+IFERROR(VLOOKUP(G76,ACRÉSCIMOS!A:B,2,0),0)+IFERROR(VLOOKUP(I76,ACRÉSCIMOS!A:B,2,0),0)+IFERROR(VLOOKUP(M76,ACRÉSCIMOS!A:B,2,0),0)+IFERROR(VLOOKUP(K76,ACRÉSCIMOS!A:B,2,0),0)</f>
        <v>79.56</v>
      </c>
    </row>
    <row r="78" spans="2:16" x14ac:dyDescent="0.25">
      <c r="B78" s="11" t="s">
        <v>15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O78" s="8" t="s">
        <v>16</v>
      </c>
      <c r="P78" s="21">
        <f>SUM(P75:P77)</f>
        <v>484.56</v>
      </c>
    </row>
    <row r="79" spans="2:16" x14ac:dyDescent="0.25">
      <c r="B79" s="11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O79" s="32"/>
      <c r="P79" s="33"/>
    </row>
    <row r="80" spans="2:16" x14ac:dyDescent="0.25">
      <c r="B80" t="s">
        <v>1</v>
      </c>
      <c r="C80" s="23">
        <f>IF(AND('BASE MANIFESTO'!B13=""), "", 'BASE MANIFESTO'!B13)</f>
        <v>46003</v>
      </c>
    </row>
    <row r="81" spans="2:16" x14ac:dyDescent="0.25">
      <c r="B81" t="s">
        <v>2</v>
      </c>
      <c r="C81" s="42">
        <f>IF(AND('BASE MANIFESTO'!A13=""), "", 'BASE MANIFESTO'!A13)</f>
        <v>262640</v>
      </c>
    </row>
    <row r="82" spans="2:16" x14ac:dyDescent="0.25">
      <c r="B82" s="8" t="s">
        <v>5</v>
      </c>
      <c r="C82" s="2"/>
      <c r="E82" s="57" t="s">
        <v>6</v>
      </c>
      <c r="F82" s="57"/>
      <c r="G82" s="57"/>
      <c r="H82" s="57"/>
      <c r="I82" s="57"/>
      <c r="J82" s="57"/>
      <c r="K82" s="57"/>
      <c r="L82" s="57"/>
      <c r="M82" s="57"/>
      <c r="N82" s="24"/>
      <c r="O82" s="8" t="s">
        <v>7</v>
      </c>
      <c r="P82" s="20">
        <f>IFERROR(VLOOKUP(C83,'CIDADES DA ROTA SETEMBRO 2024'!B:C,2,0),0)</f>
        <v>0</v>
      </c>
    </row>
    <row r="83" spans="2:16" x14ac:dyDescent="0.25">
      <c r="B83" s="8" t="s">
        <v>8</v>
      </c>
      <c r="C83" s="2"/>
      <c r="E83" s="6"/>
      <c r="F83" s="25" t="s">
        <v>18</v>
      </c>
      <c r="G83" s="55"/>
      <c r="H83" s="24" t="s">
        <v>18</v>
      </c>
      <c r="I83" s="6"/>
      <c r="J83" s="24" t="s">
        <v>18</v>
      </c>
      <c r="K83" s="6"/>
      <c r="L83" s="6"/>
      <c r="M83" s="6"/>
      <c r="O83" s="8" t="s">
        <v>12</v>
      </c>
      <c r="P83" s="20">
        <f>C82*7</f>
        <v>0</v>
      </c>
    </row>
    <row r="84" spans="2:16" x14ac:dyDescent="0.25">
      <c r="B84" t="s">
        <v>13</v>
      </c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O84" s="8" t="s">
        <v>14</v>
      </c>
      <c r="P84" s="20">
        <f>IFERROR(VLOOKUP(E83,ACRÉSCIMOS!A:B,2,0),0)+IFERROR(VLOOKUP(G83,ACRÉSCIMOS!A:B,2,0),0)+IFERROR(VLOOKUP(I83,ACRÉSCIMOS!A:B,2,0),0)+IFERROR(VLOOKUP(M83,ACRÉSCIMOS!A:B,2,0),0)+IFERROR(VLOOKUP(K83,ACRÉSCIMOS!A:B,2,0),0)</f>
        <v>0</v>
      </c>
    </row>
    <row r="85" spans="2:16" x14ac:dyDescent="0.25">
      <c r="B85" s="11" t="s">
        <v>15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O85" s="8" t="s">
        <v>16</v>
      </c>
      <c r="P85" s="21">
        <f>SUM(P82:P84)</f>
        <v>0</v>
      </c>
    </row>
    <row r="87" spans="2:16" x14ac:dyDescent="0.25">
      <c r="B87" t="s">
        <v>1</v>
      </c>
      <c r="C87" s="23">
        <f>IF(AND('BASE MANIFESTO'!B14=""), "", 'BASE MANIFESTO'!B14)</f>
        <v>46003</v>
      </c>
    </row>
    <row r="88" spans="2:16" x14ac:dyDescent="0.25">
      <c r="B88" t="s">
        <v>2</v>
      </c>
      <c r="C88" s="42">
        <f>IF(AND('BASE MANIFESTO'!A14=""), "", 'BASE MANIFESTO'!A14)</f>
        <v>262642</v>
      </c>
    </row>
    <row r="89" spans="2:16" x14ac:dyDescent="0.25">
      <c r="B89" s="8" t="s">
        <v>5</v>
      </c>
      <c r="C89" s="2">
        <v>9</v>
      </c>
      <c r="E89" s="57" t="s">
        <v>6</v>
      </c>
      <c r="F89" s="57"/>
      <c r="G89" s="57"/>
      <c r="H89" s="57"/>
      <c r="I89" s="57"/>
      <c r="J89" s="57"/>
      <c r="K89" s="57"/>
      <c r="L89" s="57"/>
      <c r="M89" s="57"/>
      <c r="N89" s="24"/>
      <c r="O89" s="8" t="s">
        <v>7</v>
      </c>
      <c r="P89" s="20">
        <f>IFERROR(VLOOKUP(C90,'CIDADES DA ROTA SETEMBRO 2024'!B:C,2,0),0)</f>
        <v>500</v>
      </c>
    </row>
    <row r="90" spans="2:16" ht="30" x14ac:dyDescent="0.25">
      <c r="B90" s="8" t="s">
        <v>8</v>
      </c>
      <c r="C90" s="2" t="s">
        <v>9</v>
      </c>
      <c r="E90" s="55" t="s">
        <v>28</v>
      </c>
      <c r="F90" s="25"/>
      <c r="G90" s="55" t="s">
        <v>11</v>
      </c>
      <c r="H90" s="24"/>
      <c r="I90" s="55" t="s">
        <v>17</v>
      </c>
      <c r="J90" s="24" t="s">
        <v>18</v>
      </c>
      <c r="K90" s="55"/>
      <c r="L90" s="55"/>
      <c r="M90" s="6"/>
      <c r="O90" s="8" t="s">
        <v>12</v>
      </c>
      <c r="P90" s="20">
        <f>C89*7</f>
        <v>63</v>
      </c>
    </row>
    <row r="91" spans="2:16" x14ac:dyDescent="0.25">
      <c r="B91" t="s">
        <v>13</v>
      </c>
      <c r="O91" s="8" t="s">
        <v>14</v>
      </c>
      <c r="P91" s="20">
        <f>IFERROR(VLOOKUP(E90,ACRÉSCIMOS!A:B,2,0),0)+IFERROR(VLOOKUP(G90,ACRÉSCIMOS!A:B,2,0),0)+IFERROR(VLOOKUP(I90,ACRÉSCIMOS!A:B,2,0),0)+IFERROR(VLOOKUP(M90,ACRÉSCIMOS!A:B,2,0),0)+IFERROR(VLOOKUP(K90,ACRÉSCIMOS!A:B,2,0),0)</f>
        <v>130.56</v>
      </c>
    </row>
    <row r="92" spans="2:16" x14ac:dyDescent="0.25">
      <c r="B92" s="11" t="s">
        <v>15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O92" s="8" t="s">
        <v>16</v>
      </c>
      <c r="P92" s="21">
        <f>SUM(P89:P91)</f>
        <v>693.56</v>
      </c>
    </row>
    <row r="93" spans="2:16" ht="7.5" customHeight="1" x14ac:dyDescent="0.25">
      <c r="B93" s="11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O93" s="32"/>
      <c r="P93" s="33"/>
    </row>
    <row r="94" spans="2:16" x14ac:dyDescent="0.25">
      <c r="B94" t="s">
        <v>1</v>
      </c>
      <c r="C94" s="23">
        <f>IF(AND('BASE MANIFESTO'!B15=""), "", 'BASE MANIFESTO'!B15)</f>
        <v>46004</v>
      </c>
    </row>
    <row r="95" spans="2:16" x14ac:dyDescent="0.25">
      <c r="B95" t="s">
        <v>2</v>
      </c>
      <c r="C95" s="42">
        <f>IF(AND('BASE MANIFESTO'!A15=""), "", 'BASE MANIFESTO'!A15)</f>
        <v>262997</v>
      </c>
    </row>
    <row r="96" spans="2:16" x14ac:dyDescent="0.25">
      <c r="B96" s="8" t="s">
        <v>5</v>
      </c>
      <c r="C96" s="2">
        <v>1</v>
      </c>
      <c r="E96" s="57" t="s">
        <v>6</v>
      </c>
      <c r="F96" s="57"/>
      <c r="G96" s="57"/>
      <c r="H96" s="57"/>
      <c r="I96" s="57"/>
      <c r="J96" s="57"/>
      <c r="K96" s="57"/>
      <c r="L96" s="57"/>
      <c r="M96" s="57"/>
      <c r="N96" s="24"/>
      <c r="O96" s="8" t="s">
        <v>7</v>
      </c>
      <c r="P96" s="20">
        <f>IFERROR(VLOOKUP(C97,'CIDADES DA ROTA SETEMBRO 2024'!B:C,2,0),0)</f>
        <v>0</v>
      </c>
    </row>
    <row r="97" spans="2:16" ht="45" x14ac:dyDescent="0.25">
      <c r="B97" s="8" t="s">
        <v>8</v>
      </c>
      <c r="C97" s="2"/>
      <c r="E97" s="55" t="s">
        <v>29</v>
      </c>
      <c r="F97" s="25"/>
      <c r="G97" s="55" t="s">
        <v>30</v>
      </c>
      <c r="H97" s="24"/>
      <c r="I97" s="55"/>
      <c r="J97" s="24"/>
      <c r="K97" s="55"/>
      <c r="L97" s="55"/>
      <c r="M97" s="55"/>
      <c r="O97" s="8" t="s">
        <v>12</v>
      </c>
      <c r="P97" s="20">
        <f>C96*7</f>
        <v>7</v>
      </c>
    </row>
    <row r="98" spans="2:16" x14ac:dyDescent="0.25">
      <c r="B98" t="s">
        <v>13</v>
      </c>
      <c r="O98" s="8" t="s">
        <v>14</v>
      </c>
      <c r="P98" s="20">
        <f>IFERROR(VLOOKUP(E97,ACRÉSCIMOS!A:B,2,0),0)+IFERROR(VLOOKUP(G97,ACRÉSCIMOS!A:B,2,0),0)+IFERROR(VLOOKUP(I97,ACRÉSCIMOS!A:B,2,0),0)+IFERROR(VLOOKUP(M97,ACRÉSCIMOS!A:B,2,0),0)+IFERROR(VLOOKUP(K97,ACRÉSCIMOS!A:B,2,0),0)</f>
        <v>634.90000000000009</v>
      </c>
    </row>
    <row r="99" spans="2:16" x14ac:dyDescent="0.25">
      <c r="B99" s="11" t="s">
        <v>15</v>
      </c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O99" s="8" t="s">
        <v>16</v>
      </c>
      <c r="P99" s="21">
        <f>SUM(P96:P98)</f>
        <v>641.90000000000009</v>
      </c>
    </row>
    <row r="100" spans="2:16" ht="8.25" customHeight="1" x14ac:dyDescent="0.25">
      <c r="B100" s="11"/>
      <c r="C100" s="26"/>
      <c r="D100" s="26"/>
      <c r="E100" s="26"/>
      <c r="F100" s="26"/>
      <c r="H100" s="26"/>
      <c r="I100" s="26"/>
      <c r="J100" s="26"/>
      <c r="K100" s="26"/>
      <c r="L100" s="26"/>
      <c r="M100" s="26"/>
      <c r="O100" s="32"/>
      <c r="P100" s="33"/>
    </row>
    <row r="101" spans="2:16" x14ac:dyDescent="0.25">
      <c r="B101" t="s">
        <v>1</v>
      </c>
      <c r="C101" s="23">
        <f>IF(AND('BASE MANIFESTO'!B16=""), "", 'BASE MANIFESTO'!B16)</f>
        <v>46006</v>
      </c>
    </row>
    <row r="102" spans="2:16" x14ac:dyDescent="0.25">
      <c r="B102" t="s">
        <v>2</v>
      </c>
      <c r="C102" s="42">
        <f>IF(AND('BASE MANIFESTO'!A16=""), "", 'BASE MANIFESTO'!A16)</f>
        <v>262875</v>
      </c>
    </row>
    <row r="103" spans="2:16" x14ac:dyDescent="0.25">
      <c r="B103" s="8" t="s">
        <v>5</v>
      </c>
      <c r="C103" s="2">
        <v>8</v>
      </c>
      <c r="E103" s="57" t="s">
        <v>6</v>
      </c>
      <c r="F103" s="57"/>
      <c r="G103" s="57"/>
      <c r="H103" s="57"/>
      <c r="I103" s="57"/>
      <c r="J103" s="57"/>
      <c r="K103" s="57"/>
      <c r="L103" s="57"/>
      <c r="M103" s="57"/>
      <c r="N103" s="24"/>
      <c r="O103" s="8" t="s">
        <v>7</v>
      </c>
      <c r="P103" s="20">
        <f>IFERROR(VLOOKUP(C104,'CIDADES DA ROTA SETEMBRO 2024'!B:C,2,0),0)</f>
        <v>600</v>
      </c>
    </row>
    <row r="104" spans="2:16" x14ac:dyDescent="0.25">
      <c r="B104" s="8" t="s">
        <v>8</v>
      </c>
      <c r="C104" s="2" t="s">
        <v>31</v>
      </c>
      <c r="E104" s="55" t="s">
        <v>11</v>
      </c>
      <c r="F104" s="25"/>
      <c r="G104" s="55" t="s">
        <v>32</v>
      </c>
      <c r="H104" s="24" t="s">
        <v>18</v>
      </c>
      <c r="I104" s="55"/>
      <c r="J104" s="24" t="s">
        <v>18</v>
      </c>
      <c r="K104" s="55"/>
      <c r="L104" s="55"/>
      <c r="M104" s="6"/>
      <c r="O104" s="8" t="s">
        <v>12</v>
      </c>
      <c r="P104" s="20">
        <f>C103*7</f>
        <v>56</v>
      </c>
    </row>
    <row r="105" spans="2:16" x14ac:dyDescent="0.25">
      <c r="B105" t="s">
        <v>13</v>
      </c>
      <c r="O105" s="8" t="s">
        <v>14</v>
      </c>
      <c r="P105" s="20">
        <f>IFERROR(VLOOKUP(E104,ACRÉSCIMOS!A:B,2,0),0)+IFERROR(VLOOKUP(G104,ACRÉSCIMOS!A:B,2,0),0)+IFERROR(VLOOKUP(I104,ACRÉSCIMOS!A:B,2,0),0)+IFERROR(VLOOKUP(M104,ACRÉSCIMOS!A:B,2,0),0)+IFERROR(VLOOKUP(K104,ACRÉSCIMOS!A:B,2,0),0)</f>
        <v>72.42</v>
      </c>
    </row>
    <row r="106" spans="2:16" x14ac:dyDescent="0.25">
      <c r="B106" s="11" t="s">
        <v>15</v>
      </c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O106" s="8" t="s">
        <v>16</v>
      </c>
      <c r="P106" s="21">
        <f>SUM(P103:P105)</f>
        <v>728.42</v>
      </c>
    </row>
    <row r="107" spans="2:16" ht="6.75" customHeight="1" x14ac:dyDescent="0.25">
      <c r="B107" s="11"/>
      <c r="C107" s="26"/>
      <c r="D107" s="26"/>
      <c r="E107" s="26"/>
      <c r="F107" s="26"/>
      <c r="H107" s="26"/>
      <c r="I107" s="26"/>
      <c r="J107" s="26"/>
      <c r="K107" s="26"/>
      <c r="L107" s="26"/>
      <c r="M107" s="26"/>
      <c r="O107" s="32"/>
      <c r="P107" s="33"/>
    </row>
    <row r="108" spans="2:16" x14ac:dyDescent="0.25">
      <c r="B108" t="s">
        <v>1</v>
      </c>
      <c r="C108" s="23">
        <f>IF(AND('BASE MANIFESTO'!B17=""), "", 'BASE MANIFESTO'!B17)</f>
        <v>46006</v>
      </c>
    </row>
    <row r="109" spans="2:16" x14ac:dyDescent="0.25">
      <c r="B109" t="s">
        <v>2</v>
      </c>
      <c r="C109" s="42">
        <f>IF(AND('BASE MANIFESTO'!A17=""), "", 'BASE MANIFESTO'!A17)</f>
        <v>262878</v>
      </c>
    </row>
    <row r="110" spans="2:16" x14ac:dyDescent="0.25">
      <c r="B110" s="8" t="s">
        <v>5</v>
      </c>
      <c r="C110" s="2">
        <v>14</v>
      </c>
      <c r="E110" s="57" t="s">
        <v>6</v>
      </c>
      <c r="F110" s="57"/>
      <c r="G110" s="57"/>
      <c r="H110" s="57"/>
      <c r="I110" s="57"/>
      <c r="J110" s="57"/>
      <c r="K110" s="57"/>
      <c r="L110" s="57"/>
      <c r="M110" s="57"/>
      <c r="N110" s="24"/>
      <c r="O110" s="8" t="s">
        <v>7</v>
      </c>
      <c r="P110" s="20">
        <f>IFERROR(VLOOKUP(C111,'CIDADES DA ROTA SETEMBRO 2024'!B:C,2,0),0)</f>
        <v>685</v>
      </c>
    </row>
    <row r="111" spans="2:16" x14ac:dyDescent="0.25">
      <c r="B111" s="8" t="s">
        <v>8</v>
      </c>
      <c r="C111" s="2" t="s">
        <v>33</v>
      </c>
      <c r="E111" s="6"/>
      <c r="F111" s="25" t="s">
        <v>18</v>
      </c>
      <c r="G111" s="55"/>
      <c r="H111" s="24" t="s">
        <v>18</v>
      </c>
      <c r="I111" s="6"/>
      <c r="J111" s="24" t="s">
        <v>18</v>
      </c>
      <c r="K111" s="55"/>
      <c r="L111" s="6"/>
      <c r="M111" s="6"/>
      <c r="O111" s="8" t="s">
        <v>12</v>
      </c>
      <c r="P111" s="20">
        <f>C110*7</f>
        <v>98</v>
      </c>
    </row>
    <row r="112" spans="2:16" x14ac:dyDescent="0.25">
      <c r="B112" t="s">
        <v>13</v>
      </c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O112" s="8" t="s">
        <v>14</v>
      </c>
      <c r="P112" s="20">
        <f>IFERROR(VLOOKUP(E111,ACRÉSCIMOS!A:B,2,0),0)+IFERROR(VLOOKUP(G111,ACRÉSCIMOS!A:B,2,0),0)+IFERROR(VLOOKUP(I111,ACRÉSCIMOS!A:B,2,0),0)+IFERROR(VLOOKUP(M111,ACRÉSCIMOS!A:B,2,0),0)+IFERROR(VLOOKUP(K111,ACRÉSCIMOS!A:B,2,0),0)</f>
        <v>0</v>
      </c>
    </row>
    <row r="113" spans="2:16" x14ac:dyDescent="0.25">
      <c r="B113" s="11" t="s">
        <v>15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O113" s="8" t="s">
        <v>16</v>
      </c>
      <c r="P113" s="21">
        <f>SUM(P110:P112)</f>
        <v>783</v>
      </c>
    </row>
    <row r="114" spans="2:16" ht="6.75" customHeight="1" x14ac:dyDescent="0.25">
      <c r="B114" s="11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O114" s="32"/>
      <c r="P114" s="33"/>
    </row>
    <row r="115" spans="2:16" x14ac:dyDescent="0.25">
      <c r="B115" t="s">
        <v>1</v>
      </c>
      <c r="C115" s="23">
        <f>IF(AND('BASE MANIFESTO'!B18=""), "", 'BASE MANIFESTO'!B18)</f>
        <v>46007</v>
      </c>
    </row>
    <row r="116" spans="2:16" x14ac:dyDescent="0.25">
      <c r="B116" t="s">
        <v>2</v>
      </c>
      <c r="C116" s="42">
        <f>IF(AND('BASE MANIFESTO'!A18=""), "", 'BASE MANIFESTO'!A18)</f>
        <v>263142</v>
      </c>
    </row>
    <row r="117" spans="2:16" x14ac:dyDescent="0.25">
      <c r="B117" s="8" t="s">
        <v>5</v>
      </c>
      <c r="C117" s="2">
        <v>8</v>
      </c>
      <c r="E117" s="57" t="s">
        <v>6</v>
      </c>
      <c r="F117" s="57"/>
      <c r="G117" s="57"/>
      <c r="H117" s="57"/>
      <c r="I117" s="57"/>
      <c r="J117" s="57"/>
      <c r="K117" s="57"/>
      <c r="L117" s="57"/>
      <c r="M117" s="57"/>
      <c r="N117" s="24"/>
      <c r="O117" s="8" t="s">
        <v>7</v>
      </c>
      <c r="P117" s="20">
        <f>IFERROR(VLOOKUP(C118,'CIDADES DA ROTA SETEMBRO 2024'!B:C,2,0),0)</f>
        <v>0</v>
      </c>
    </row>
    <row r="118" spans="2:16" ht="60" x14ac:dyDescent="0.25">
      <c r="B118" s="8" t="s">
        <v>8</v>
      </c>
      <c r="C118" s="2"/>
      <c r="E118" s="55" t="s">
        <v>34</v>
      </c>
      <c r="F118" s="25" t="s">
        <v>18</v>
      </c>
      <c r="G118" s="55" t="s">
        <v>35</v>
      </c>
      <c r="H118" s="24" t="s">
        <v>18</v>
      </c>
      <c r="I118" s="6"/>
      <c r="J118" s="24" t="s">
        <v>18</v>
      </c>
      <c r="K118" s="6"/>
      <c r="L118" s="6"/>
      <c r="M118" s="6"/>
      <c r="O118" s="8" t="s">
        <v>12</v>
      </c>
      <c r="P118" s="20">
        <f>C117*7</f>
        <v>56</v>
      </c>
    </row>
    <row r="119" spans="2:16" x14ac:dyDescent="0.25">
      <c r="B119" t="s">
        <v>13</v>
      </c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O119" s="8" t="s">
        <v>14</v>
      </c>
      <c r="P119" s="20">
        <f>IFERROR(VLOOKUP(E118,ACRÉSCIMOS!A:B,2,0),0)+IFERROR(VLOOKUP(G118,ACRÉSCIMOS!A:B,2,0),0)+IFERROR(VLOOKUP(I118,ACRÉSCIMOS!A:B,2,0),0)+IFERROR(VLOOKUP(M118,ACRÉSCIMOS!A:B,2,0),0)+IFERROR(VLOOKUP(K118,ACRÉSCIMOS!A:B,2,0),0)</f>
        <v>986.80000000000007</v>
      </c>
    </row>
    <row r="120" spans="2:16" x14ac:dyDescent="0.25">
      <c r="B120" s="11" t="s">
        <v>15</v>
      </c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O120" s="8" t="s">
        <v>16</v>
      </c>
      <c r="P120" s="21">
        <f>SUM(P117:P119)</f>
        <v>1042.8000000000002</v>
      </c>
    </row>
    <row r="121" spans="2:16" ht="8.25" customHeight="1" x14ac:dyDescent="0.25"/>
    <row r="122" spans="2:16" x14ac:dyDescent="0.25">
      <c r="B122" t="s">
        <v>1</v>
      </c>
      <c r="C122" s="23">
        <f>IF(AND('BASE MANIFESTO'!B19=""), "", 'BASE MANIFESTO'!B19)</f>
        <v>46007</v>
      </c>
    </row>
    <row r="123" spans="2:16" x14ac:dyDescent="0.25">
      <c r="B123" t="s">
        <v>2</v>
      </c>
      <c r="C123" s="42">
        <f>IF(AND('BASE MANIFESTO'!A19=""), "", 'BASE MANIFESTO'!A19)</f>
        <v>263143</v>
      </c>
    </row>
    <row r="124" spans="2:16" x14ac:dyDescent="0.25">
      <c r="B124" s="8" t="s">
        <v>5</v>
      </c>
      <c r="C124" s="2">
        <v>7</v>
      </c>
      <c r="E124" s="57" t="s">
        <v>6</v>
      </c>
      <c r="F124" s="57"/>
      <c r="G124" s="57"/>
      <c r="H124" s="57"/>
      <c r="I124" s="57"/>
      <c r="J124" s="57"/>
      <c r="K124" s="57"/>
      <c r="L124" s="57"/>
      <c r="M124" s="57"/>
      <c r="N124" s="24"/>
      <c r="O124" s="8" t="s">
        <v>7</v>
      </c>
      <c r="P124" s="20">
        <f>IFERROR(VLOOKUP(C125,'CIDADES DA ROTA SETEMBRO 2024'!B:C,2,0),0)</f>
        <v>500</v>
      </c>
    </row>
    <row r="125" spans="2:16" ht="30" x14ac:dyDescent="0.25">
      <c r="B125" s="8" t="s">
        <v>8</v>
      </c>
      <c r="C125" s="2" t="s">
        <v>9</v>
      </c>
      <c r="E125" s="55" t="s">
        <v>11</v>
      </c>
      <c r="F125" s="25"/>
      <c r="G125" s="55" t="s">
        <v>28</v>
      </c>
      <c r="H125" s="24"/>
      <c r="I125" s="55"/>
      <c r="J125" s="24"/>
      <c r="K125" s="55"/>
      <c r="L125" s="55"/>
      <c r="M125" s="6"/>
      <c r="O125" s="8" t="s">
        <v>12</v>
      </c>
      <c r="P125" s="20">
        <f>C124*7</f>
        <v>49</v>
      </c>
    </row>
    <row r="126" spans="2:16" x14ac:dyDescent="0.25">
      <c r="B126" t="s">
        <v>13</v>
      </c>
      <c r="O126" s="8" t="s">
        <v>14</v>
      </c>
      <c r="P126" s="20">
        <f>IFERROR(VLOOKUP(E125,ACRÉSCIMOS!A:B,2,0),0)+IFERROR(VLOOKUP(G125,ACRÉSCIMOS!A:B,2,0),0)+IFERROR(VLOOKUP(I125,ACRÉSCIMOS!A:B,2,0),0)+IFERROR(VLOOKUP(M125,ACRÉSCIMOS!A:B,2,0),0)+IFERROR(VLOOKUP(K125,ACRÉSCIMOS!A:B,2,0),0)</f>
        <v>67.320000000000007</v>
      </c>
    </row>
    <row r="127" spans="2:16" x14ac:dyDescent="0.25">
      <c r="B127" s="11" t="s">
        <v>15</v>
      </c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O127" s="8" t="s">
        <v>16</v>
      </c>
      <c r="P127" s="21">
        <f>SUM(P124:P126)</f>
        <v>616.32000000000005</v>
      </c>
    </row>
    <row r="128" spans="2:16" ht="8.25" customHeight="1" x14ac:dyDescent="0.25">
      <c r="B128" s="11"/>
      <c r="C128" s="26"/>
      <c r="D128" s="26"/>
      <c r="E128" s="26"/>
      <c r="F128" s="26"/>
      <c r="H128" s="26"/>
      <c r="I128" s="26"/>
      <c r="J128" s="26"/>
      <c r="K128" s="26"/>
      <c r="L128" s="26"/>
      <c r="M128" s="26"/>
      <c r="O128" s="32"/>
      <c r="P128" s="33"/>
    </row>
    <row r="129" spans="2:16" x14ac:dyDescent="0.25">
      <c r="B129" t="s">
        <v>1</v>
      </c>
      <c r="C129" s="23">
        <f>IF(AND('BASE MANIFESTO'!B20=""), "", 'BASE MANIFESTO'!B20)</f>
        <v>46008</v>
      </c>
    </row>
    <row r="130" spans="2:16" x14ac:dyDescent="0.25">
      <c r="B130" t="s">
        <v>2</v>
      </c>
      <c r="C130" s="42">
        <f>IF(AND('BASE MANIFESTO'!A20=""), "", 'BASE MANIFESTO'!A20)</f>
        <v>263349</v>
      </c>
    </row>
    <row r="131" spans="2:16" x14ac:dyDescent="0.25">
      <c r="B131" s="8" t="s">
        <v>5</v>
      </c>
      <c r="C131" s="2">
        <v>8</v>
      </c>
      <c r="E131" s="57" t="s">
        <v>6</v>
      </c>
      <c r="F131" s="57"/>
      <c r="G131" s="57"/>
      <c r="H131" s="57"/>
      <c r="I131" s="57"/>
      <c r="J131" s="57"/>
      <c r="K131" s="57"/>
      <c r="L131" s="57"/>
      <c r="M131" s="57"/>
      <c r="N131" s="24"/>
      <c r="O131" s="8" t="s">
        <v>7</v>
      </c>
      <c r="P131" s="20">
        <f>IFERROR(VLOOKUP(C132,'CIDADES DA ROTA SETEMBRO 2024'!B:C,2,0),0)</f>
        <v>500</v>
      </c>
    </row>
    <row r="132" spans="2:16" ht="30" x14ac:dyDescent="0.25">
      <c r="B132" s="8" t="s">
        <v>8</v>
      </c>
      <c r="C132" s="2" t="s">
        <v>9</v>
      </c>
      <c r="E132" s="6" t="s">
        <v>17</v>
      </c>
      <c r="F132" s="25"/>
      <c r="G132" s="55" t="s">
        <v>11</v>
      </c>
      <c r="H132" s="24" t="s">
        <v>18</v>
      </c>
      <c r="I132" s="55"/>
      <c r="J132" s="24" t="s">
        <v>18</v>
      </c>
      <c r="K132" s="55"/>
      <c r="L132" s="55"/>
      <c r="M132" s="6"/>
      <c r="O132" s="8" t="s">
        <v>12</v>
      </c>
      <c r="P132" s="20">
        <f>C131*7</f>
        <v>56</v>
      </c>
    </row>
    <row r="133" spans="2:16" x14ac:dyDescent="0.25">
      <c r="B133" t="s">
        <v>13</v>
      </c>
      <c r="O133" s="8" t="s">
        <v>14</v>
      </c>
      <c r="P133" s="20">
        <f>IFERROR(VLOOKUP(E132,ACRÉSCIMOS!A:B,2,0),0)+IFERROR(VLOOKUP(G132,ACRÉSCIMOS!A:B,2,0),0)+IFERROR(VLOOKUP(I132,ACRÉSCIMOS!A:B,2,0),0)+IFERROR(VLOOKUP(M132,ACRÉSCIMOS!A:B,2,0),0)+IFERROR(VLOOKUP(K132,ACRÉSCIMOS!A:B,2,0),0)</f>
        <v>115.26</v>
      </c>
    </row>
    <row r="134" spans="2:16" x14ac:dyDescent="0.25">
      <c r="B134" s="11" t="s">
        <v>15</v>
      </c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O134" s="8" t="s">
        <v>16</v>
      </c>
      <c r="P134" s="21">
        <f>SUM(P131:P133)</f>
        <v>671.26</v>
      </c>
    </row>
    <row r="135" spans="2:16" x14ac:dyDescent="0.25">
      <c r="B135" s="11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O135" s="8"/>
      <c r="P135" s="21"/>
    </row>
    <row r="136" spans="2:16" x14ac:dyDescent="0.25">
      <c r="B136" t="s">
        <v>1</v>
      </c>
      <c r="C136" s="23">
        <f>IF(AND('BASE MANIFESTO'!B21=""), "", 'BASE MANIFESTO'!B21)</f>
        <v>46009</v>
      </c>
    </row>
    <row r="137" spans="2:16" x14ac:dyDescent="0.25">
      <c r="B137" t="s">
        <v>2</v>
      </c>
      <c r="C137" s="42">
        <f>IF(AND('BASE MANIFESTO'!A21=""), "", 'BASE MANIFESTO'!A21)</f>
        <v>263578</v>
      </c>
    </row>
    <row r="138" spans="2:16" x14ac:dyDescent="0.25">
      <c r="B138" s="8" t="s">
        <v>5</v>
      </c>
      <c r="C138" s="2">
        <v>10</v>
      </c>
      <c r="E138" s="57" t="s">
        <v>6</v>
      </c>
      <c r="F138" s="57"/>
      <c r="G138" s="57"/>
      <c r="H138" s="57"/>
      <c r="I138" s="57"/>
      <c r="J138" s="57"/>
      <c r="K138" s="57"/>
      <c r="L138" s="57"/>
      <c r="M138" s="57"/>
      <c r="N138" s="24"/>
      <c r="O138" s="8" t="s">
        <v>7</v>
      </c>
      <c r="P138" s="20">
        <f>IFERROR(VLOOKUP(C139,'CIDADES DA ROTA SETEMBRO 2024'!B:C,2,0),0)</f>
        <v>600</v>
      </c>
    </row>
    <row r="139" spans="2:16" x14ac:dyDescent="0.25">
      <c r="B139" s="8" t="s">
        <v>8</v>
      </c>
      <c r="C139" s="2" t="s">
        <v>31</v>
      </c>
      <c r="E139" s="6" t="s">
        <v>11</v>
      </c>
      <c r="F139" s="25" t="s">
        <v>18</v>
      </c>
      <c r="G139" s="55" t="s">
        <v>32</v>
      </c>
      <c r="H139" s="24" t="s">
        <v>18</v>
      </c>
      <c r="I139" s="55"/>
      <c r="J139" s="24" t="s">
        <v>18</v>
      </c>
      <c r="K139" s="6"/>
      <c r="L139" s="6"/>
      <c r="M139" s="6"/>
      <c r="O139" s="8" t="s">
        <v>12</v>
      </c>
      <c r="P139" s="20">
        <f>C138*7</f>
        <v>70</v>
      </c>
    </row>
    <row r="140" spans="2:16" x14ac:dyDescent="0.25">
      <c r="B140" t="s">
        <v>13</v>
      </c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O140" s="8" t="s">
        <v>14</v>
      </c>
      <c r="P140" s="20">
        <f>IFERROR(VLOOKUP(E139,ACRÉSCIMOS!A:B,2,0),0)+IFERROR(VLOOKUP(G139,ACRÉSCIMOS!A:B,2,0),0)+IFERROR(VLOOKUP(I139,ACRÉSCIMOS!A:B,2,0),0)+IFERROR(VLOOKUP(M139,ACRÉSCIMOS!A:B,2,0),0)+IFERROR(VLOOKUP(K139,ACRÉSCIMOS!A:B,2,0),0)</f>
        <v>72.42</v>
      </c>
    </row>
    <row r="141" spans="2:16" x14ac:dyDescent="0.25">
      <c r="B141" s="11" t="s">
        <v>15</v>
      </c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O141" s="8" t="s">
        <v>16</v>
      </c>
      <c r="P141" s="21">
        <f>SUM(P138:P140)</f>
        <v>742.42</v>
      </c>
    </row>
    <row r="142" spans="2:16" ht="15" customHeight="1" x14ac:dyDescent="0.25">
      <c r="B142" s="11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O142" s="32"/>
      <c r="P142" s="33"/>
    </row>
    <row r="143" spans="2:16" x14ac:dyDescent="0.25">
      <c r="B143" t="s">
        <v>1</v>
      </c>
      <c r="C143" s="23">
        <f>IF(AND('BASE MANIFESTO'!B22=""), "", 'BASE MANIFESTO'!B22)</f>
        <v>46009</v>
      </c>
    </row>
    <row r="144" spans="2:16" x14ac:dyDescent="0.25">
      <c r="B144" t="s">
        <v>2</v>
      </c>
      <c r="C144" s="42">
        <f>IF(AND('BASE MANIFESTO'!A22=""), "", 'BASE MANIFESTO'!A22)</f>
        <v>263652</v>
      </c>
    </row>
    <row r="145" spans="2:16" x14ac:dyDescent="0.25">
      <c r="B145" s="8" t="s">
        <v>5</v>
      </c>
      <c r="C145" s="2">
        <v>2</v>
      </c>
      <c r="E145" s="57" t="s">
        <v>6</v>
      </c>
      <c r="F145" s="57"/>
      <c r="G145" s="57"/>
      <c r="H145" s="57"/>
      <c r="I145" s="57"/>
      <c r="J145" s="57"/>
      <c r="K145" s="57"/>
      <c r="L145" s="57"/>
      <c r="M145" s="57"/>
      <c r="N145" s="24"/>
      <c r="O145" s="8" t="s">
        <v>7</v>
      </c>
      <c r="P145" s="20">
        <f>IFERROR(VLOOKUP(C146,'CIDADES DA ROTA SETEMBRO 2024'!B:C,2,0),0)</f>
        <v>0</v>
      </c>
    </row>
    <row r="146" spans="2:16" ht="60" x14ac:dyDescent="0.25">
      <c r="B146" s="8" t="s">
        <v>8</v>
      </c>
      <c r="C146" s="2"/>
      <c r="E146" s="55" t="s">
        <v>36</v>
      </c>
      <c r="F146" s="25" t="s">
        <v>18</v>
      </c>
      <c r="G146" s="55" t="s">
        <v>37</v>
      </c>
      <c r="H146" s="24" t="s">
        <v>18</v>
      </c>
      <c r="I146" s="6"/>
      <c r="J146" s="24" t="s">
        <v>18</v>
      </c>
      <c r="K146" s="6"/>
      <c r="L146" s="6"/>
      <c r="M146" s="6"/>
      <c r="O146" s="8" t="s">
        <v>12</v>
      </c>
      <c r="P146" s="20">
        <f>C145*7</f>
        <v>14</v>
      </c>
    </row>
    <row r="147" spans="2:16" x14ac:dyDescent="0.25">
      <c r="B147" t="s">
        <v>13</v>
      </c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O147" s="8" t="s">
        <v>14</v>
      </c>
      <c r="P147" s="20">
        <f>IFERROR(VLOOKUP(E146,ACRÉSCIMOS!A:B,2,0),0)+IFERROR(VLOOKUP(G146,ACRÉSCIMOS!A:B,2,0),0)+IFERROR(VLOOKUP(I146,ACRÉSCIMOS!A:B,2,0),0)+IFERROR(VLOOKUP(M146,ACRÉSCIMOS!A:B,2,0),0)+IFERROR(VLOOKUP(K146,ACRÉSCIMOS!A:B,2,0),0)</f>
        <v>291.8</v>
      </c>
    </row>
    <row r="148" spans="2:16" x14ac:dyDescent="0.25">
      <c r="B148" s="11" t="s">
        <v>15</v>
      </c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O148" s="8" t="s">
        <v>16</v>
      </c>
      <c r="P148" s="21">
        <f>SUM(P145:P147)</f>
        <v>305.8</v>
      </c>
    </row>
    <row r="149" spans="2:16" ht="8.25" customHeight="1" x14ac:dyDescent="0.25"/>
    <row r="150" spans="2:16" x14ac:dyDescent="0.25">
      <c r="B150" t="s">
        <v>1</v>
      </c>
      <c r="C150" s="23">
        <f>IF(AND('BASE MANIFESTO'!B23=""), "", 'BASE MANIFESTO'!B23)</f>
        <v>46010</v>
      </c>
    </row>
    <row r="151" spans="2:16" x14ac:dyDescent="0.25">
      <c r="B151" t="s">
        <v>2</v>
      </c>
      <c r="C151" s="42">
        <f>IF(AND('BASE MANIFESTO'!A23=""), "", 'BASE MANIFESTO'!A23)</f>
        <v>263789</v>
      </c>
    </row>
    <row r="152" spans="2:16" x14ac:dyDescent="0.25">
      <c r="B152" s="8" t="s">
        <v>5</v>
      </c>
      <c r="C152" s="2">
        <v>6</v>
      </c>
      <c r="E152" s="57" t="s">
        <v>6</v>
      </c>
      <c r="F152" s="57"/>
      <c r="G152" s="57"/>
      <c r="H152" s="57"/>
      <c r="I152" s="57"/>
      <c r="J152" s="57"/>
      <c r="K152" s="57"/>
      <c r="L152" s="57"/>
      <c r="M152" s="57"/>
      <c r="N152" s="24"/>
      <c r="O152" s="8" t="s">
        <v>7</v>
      </c>
      <c r="P152" s="20">
        <f>IFERROR(VLOOKUP(C153,'CIDADES DA ROTA SETEMBRO 2024'!B:C,2,0),0)</f>
        <v>500</v>
      </c>
    </row>
    <row r="153" spans="2:16" ht="30" x14ac:dyDescent="0.25">
      <c r="B153" s="8" t="s">
        <v>8</v>
      </c>
      <c r="C153" s="2" t="s">
        <v>9</v>
      </c>
      <c r="E153" s="55" t="s">
        <v>11</v>
      </c>
      <c r="F153" s="25"/>
      <c r="G153" s="55" t="s">
        <v>38</v>
      </c>
      <c r="H153" s="24"/>
      <c r="I153" s="55"/>
      <c r="J153" s="24"/>
      <c r="K153" s="55"/>
      <c r="L153" s="55"/>
      <c r="M153" s="6"/>
      <c r="O153" s="8" t="s">
        <v>12</v>
      </c>
      <c r="P153" s="20">
        <f>C152*7</f>
        <v>42</v>
      </c>
    </row>
    <row r="154" spans="2:16" x14ac:dyDescent="0.25">
      <c r="B154" t="s">
        <v>13</v>
      </c>
      <c r="O154" s="8" t="s">
        <v>14</v>
      </c>
      <c r="P154" s="20">
        <f>IFERROR(VLOOKUP(E153,ACRÉSCIMOS!A:B,2,0),0)+IFERROR(VLOOKUP(G153,ACRÉSCIMOS!A:B,2,0),0)+IFERROR(VLOOKUP(I153,ACRÉSCIMOS!A:B,2,0),0)+IFERROR(VLOOKUP(M153,ACRÉSCIMOS!A:B,2,0),0)+IFERROR(VLOOKUP(K153,ACRÉSCIMOS!A:B,2,0),0)</f>
        <v>104.04</v>
      </c>
    </row>
    <row r="155" spans="2:16" x14ac:dyDescent="0.25">
      <c r="B155" s="11" t="s">
        <v>15</v>
      </c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O155" s="8" t="s">
        <v>16</v>
      </c>
      <c r="P155" s="21">
        <f>SUM(P152:P154)</f>
        <v>646.04</v>
      </c>
    </row>
    <row r="156" spans="2:16" ht="8.25" customHeight="1" x14ac:dyDescent="0.25">
      <c r="B156" s="11"/>
      <c r="C156" s="26"/>
      <c r="D156" s="26"/>
      <c r="E156" s="26"/>
      <c r="F156" s="26"/>
      <c r="H156" s="26"/>
      <c r="I156" s="26"/>
      <c r="J156" s="26"/>
      <c r="K156" s="26"/>
      <c r="L156" s="26"/>
      <c r="M156" s="26"/>
      <c r="O156" s="32"/>
      <c r="P156" s="33"/>
    </row>
    <row r="157" spans="2:16" x14ac:dyDescent="0.25">
      <c r="B157" t="s">
        <v>1</v>
      </c>
      <c r="C157" s="23">
        <f>IF(AND('BASE MANIFESTO'!B24=""), "", 'BASE MANIFESTO'!B24)</f>
        <v>46008</v>
      </c>
    </row>
    <row r="158" spans="2:16" x14ac:dyDescent="0.25">
      <c r="B158" t="s">
        <v>2</v>
      </c>
      <c r="C158" s="42">
        <f>IF(AND('BASE MANIFESTO'!A24=""), "", 'BASE MANIFESTO'!A24)</f>
        <v>263846</v>
      </c>
    </row>
    <row r="159" spans="2:16" x14ac:dyDescent="0.25">
      <c r="B159" s="8" t="s">
        <v>5</v>
      </c>
      <c r="C159" s="2">
        <v>1</v>
      </c>
      <c r="E159" s="57" t="s">
        <v>6</v>
      </c>
      <c r="F159" s="57"/>
      <c r="G159" s="57"/>
      <c r="H159" s="57"/>
      <c r="I159" s="57"/>
      <c r="J159" s="57"/>
      <c r="K159" s="57"/>
      <c r="L159" s="57"/>
      <c r="M159" s="57"/>
      <c r="N159" s="24"/>
      <c r="O159" s="8" t="s">
        <v>7</v>
      </c>
      <c r="P159" s="20">
        <f>IFERROR(VLOOKUP(C160,'CIDADES DA ROTA SETEMBRO 2024'!B:C,2,0),0)</f>
        <v>0</v>
      </c>
    </row>
    <row r="160" spans="2:16" ht="45" x14ac:dyDescent="0.25">
      <c r="B160" s="8" t="s">
        <v>8</v>
      </c>
      <c r="C160" s="2"/>
      <c r="E160" s="6" t="s">
        <v>39</v>
      </c>
      <c r="F160" s="25"/>
      <c r="G160" s="55" t="s">
        <v>40</v>
      </c>
      <c r="H160" s="24" t="s">
        <v>18</v>
      </c>
      <c r="I160" s="55"/>
      <c r="J160" s="24" t="s">
        <v>18</v>
      </c>
      <c r="K160" s="55"/>
      <c r="L160" s="55"/>
      <c r="M160" s="6"/>
      <c r="O160" s="8" t="s">
        <v>12</v>
      </c>
      <c r="P160" s="20">
        <f>C159*7</f>
        <v>7</v>
      </c>
    </row>
    <row r="161" spans="2:16" x14ac:dyDescent="0.25">
      <c r="B161" t="s">
        <v>13</v>
      </c>
      <c r="O161" s="8" t="s">
        <v>14</v>
      </c>
      <c r="P161" s="20">
        <f>IFERROR(VLOOKUP(E160,ACRÉSCIMOS!A:B,2,0),0)+IFERROR(VLOOKUP(G160,ACRÉSCIMOS!A:B,2,0),0)+IFERROR(VLOOKUP(I160,ACRÉSCIMOS!A:B,2,0),0)+IFERROR(VLOOKUP(M160,ACRÉSCIMOS!A:B,2,0),0)+IFERROR(VLOOKUP(K160,ACRÉSCIMOS!A:B,2,0),0)</f>
        <v>552.41999999999996</v>
      </c>
    </row>
    <row r="162" spans="2:16" x14ac:dyDescent="0.25">
      <c r="B162" s="11" t="s">
        <v>15</v>
      </c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O162" s="8" t="s">
        <v>16</v>
      </c>
      <c r="P162" s="21">
        <f>SUM(P159:P161)</f>
        <v>559.41999999999996</v>
      </c>
    </row>
    <row r="163" spans="2:16" x14ac:dyDescent="0.25">
      <c r="B163" s="11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O163" s="32"/>
      <c r="P163" s="33"/>
    </row>
    <row r="164" spans="2:16" x14ac:dyDescent="0.25">
      <c r="B164" t="s">
        <v>1</v>
      </c>
      <c r="C164" s="23" t="str">
        <f>IF(AND('BASE MANIFESTO'!B31=""), "", 'BASE MANIFESTO'!B31)</f>
        <v/>
      </c>
    </row>
    <row r="165" spans="2:16" ht="14.25" customHeight="1" x14ac:dyDescent="0.25">
      <c r="B165" t="s">
        <v>2</v>
      </c>
      <c r="C165" s="42" t="str">
        <f>IF(AND('BASE MANIFESTO'!A31=""), "", 'BASE MANIFESTO'!A31)</f>
        <v/>
      </c>
    </row>
    <row r="166" spans="2:16" ht="14.25" customHeight="1" x14ac:dyDescent="0.25">
      <c r="B166" s="8" t="s">
        <v>5</v>
      </c>
      <c r="C166" s="2"/>
      <c r="E166" s="57" t="s">
        <v>6</v>
      </c>
      <c r="F166" s="57"/>
      <c r="G166" s="57"/>
      <c r="H166" s="57"/>
      <c r="I166" s="57"/>
      <c r="J166" s="57"/>
      <c r="K166" s="57"/>
      <c r="L166" s="57"/>
      <c r="M166" s="57"/>
      <c r="N166" s="24"/>
      <c r="O166" s="8" t="s">
        <v>7</v>
      </c>
      <c r="P166" s="20">
        <f>IFERROR(VLOOKUP(C167,'CIDADES DA ROTA SETEMBRO 2024'!B:C,2,0),0)</f>
        <v>0</v>
      </c>
    </row>
    <row r="167" spans="2:16" ht="14.25" customHeight="1" x14ac:dyDescent="0.25">
      <c r="B167" s="8" t="s">
        <v>8</v>
      </c>
      <c r="C167" s="2"/>
      <c r="E167" s="6"/>
      <c r="F167" s="25"/>
      <c r="G167" s="55"/>
      <c r="H167" s="24" t="s">
        <v>18</v>
      </c>
      <c r="I167" s="55"/>
      <c r="J167" s="24" t="s">
        <v>18</v>
      </c>
      <c r="K167" s="55"/>
      <c r="L167" s="55"/>
      <c r="M167" s="6"/>
      <c r="O167" s="8" t="s">
        <v>12</v>
      </c>
      <c r="P167" s="20">
        <f>C166*7</f>
        <v>0</v>
      </c>
    </row>
    <row r="168" spans="2:16" ht="14.25" customHeight="1" x14ac:dyDescent="0.25">
      <c r="B168" t="s">
        <v>13</v>
      </c>
      <c r="O168" s="8" t="s">
        <v>14</v>
      </c>
      <c r="P168" s="20">
        <f>IFERROR(VLOOKUP(E167,ACRÉSCIMOS!A:B,2,0),0)+IFERROR(VLOOKUP(G167,ACRÉSCIMOS!A:B,2,0),0)+IFERROR(VLOOKUP(I167,ACRÉSCIMOS!A:B,2,0),0)+IFERROR(VLOOKUP(M167,ACRÉSCIMOS!A:B,2,0),0)+IFERROR(VLOOKUP(K167,ACRÉSCIMOS!A:B,2,0),0)</f>
        <v>0</v>
      </c>
    </row>
    <row r="169" spans="2:16" ht="14.25" customHeight="1" x14ac:dyDescent="0.25">
      <c r="B169" s="11" t="s">
        <v>15</v>
      </c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O169" s="8" t="s">
        <v>16</v>
      </c>
      <c r="P169" s="21">
        <f>SUM(P166:P168)</f>
        <v>0</v>
      </c>
    </row>
    <row r="170" spans="2:16" ht="14.25" customHeight="1" x14ac:dyDescent="0.25"/>
    <row r="171" spans="2:16" ht="14.25" customHeight="1" x14ac:dyDescent="0.25">
      <c r="B171" t="s">
        <v>1</v>
      </c>
      <c r="C171" s="23" t="str">
        <f>IF(AND('BASE MANIFESTO'!B38=""), "", 'BASE MANIFESTO'!B38)</f>
        <v/>
      </c>
    </row>
    <row r="172" spans="2:16" ht="14.25" customHeight="1" x14ac:dyDescent="0.25">
      <c r="B172" t="s">
        <v>2</v>
      </c>
      <c r="C172" s="42" t="str">
        <f>IF(AND('BASE MANIFESTO'!A38=""), "", 'BASE MANIFESTO'!A38)</f>
        <v/>
      </c>
    </row>
    <row r="173" spans="2:16" ht="14.25" customHeight="1" x14ac:dyDescent="0.25">
      <c r="B173" s="8" t="s">
        <v>5</v>
      </c>
      <c r="C173" s="2"/>
      <c r="E173" s="57" t="s">
        <v>6</v>
      </c>
      <c r="F173" s="57"/>
      <c r="G173" s="57"/>
      <c r="H173" s="57"/>
      <c r="I173" s="57"/>
      <c r="J173" s="57"/>
      <c r="K173" s="57"/>
      <c r="L173" s="57"/>
      <c r="M173" s="57"/>
      <c r="N173" s="24"/>
      <c r="O173" s="8" t="s">
        <v>7</v>
      </c>
      <c r="P173" s="20">
        <f>IFERROR(VLOOKUP(C174,'CIDADES DA ROTA SETEMBRO 2024'!B:C,2,0),0)</f>
        <v>0</v>
      </c>
    </row>
    <row r="174" spans="2:16" ht="14.25" customHeight="1" x14ac:dyDescent="0.25">
      <c r="B174" s="8" t="s">
        <v>8</v>
      </c>
      <c r="C174" s="2"/>
      <c r="E174" s="6"/>
      <c r="F174" s="25"/>
      <c r="G174" s="55"/>
      <c r="H174" s="24" t="s">
        <v>18</v>
      </c>
      <c r="I174" s="55"/>
      <c r="J174" s="24" t="s">
        <v>18</v>
      </c>
      <c r="K174" s="55"/>
      <c r="L174" s="55"/>
      <c r="M174" s="6"/>
      <c r="O174" s="8" t="s">
        <v>12</v>
      </c>
      <c r="P174" s="20">
        <f>C173*7</f>
        <v>0</v>
      </c>
    </row>
    <row r="175" spans="2:16" ht="14.25" customHeight="1" x14ac:dyDescent="0.25">
      <c r="B175" t="s">
        <v>13</v>
      </c>
      <c r="O175" s="8" t="s">
        <v>14</v>
      </c>
      <c r="P175" s="20">
        <f>IFERROR(VLOOKUP(E174,ACRÉSCIMOS!A:B,2,0),0)+IFERROR(VLOOKUP(G174,ACRÉSCIMOS!A:B,2,0),0)+IFERROR(VLOOKUP(I174,ACRÉSCIMOS!A:B,2,0),0)+IFERROR(VLOOKUP(M174,ACRÉSCIMOS!A:B,2,0),0)+IFERROR(VLOOKUP(K174,ACRÉSCIMOS!A:B,2,0),0)</f>
        <v>0</v>
      </c>
    </row>
    <row r="176" spans="2:16" ht="14.25" customHeight="1" x14ac:dyDescent="0.25">
      <c r="B176" s="11" t="s">
        <v>15</v>
      </c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O176" s="8" t="s">
        <v>16</v>
      </c>
      <c r="P176" s="21">
        <f>SUM(P173:P175)</f>
        <v>0</v>
      </c>
    </row>
    <row r="177" spans="2:16" ht="14.25" customHeight="1" x14ac:dyDescent="0.25"/>
    <row r="178" spans="2:16" ht="14.25" customHeight="1" x14ac:dyDescent="0.25">
      <c r="B178" t="s">
        <v>1</v>
      </c>
      <c r="C178" s="23" t="str">
        <f>IF(AND('BASE MANIFESTO'!B45=""), "", 'BASE MANIFESTO'!B45)</f>
        <v/>
      </c>
    </row>
    <row r="179" spans="2:16" ht="14.25" customHeight="1" x14ac:dyDescent="0.25">
      <c r="B179" t="s">
        <v>2</v>
      </c>
      <c r="C179" s="42" t="str">
        <f>IF(AND('BASE MANIFESTO'!A45=""), "", 'BASE MANIFESTO'!A45)</f>
        <v/>
      </c>
    </row>
    <row r="180" spans="2:16" ht="14.25" customHeight="1" x14ac:dyDescent="0.25">
      <c r="B180" s="8" t="s">
        <v>5</v>
      </c>
      <c r="C180" s="2"/>
      <c r="E180" s="57" t="s">
        <v>6</v>
      </c>
      <c r="F180" s="57"/>
      <c r="G180" s="57"/>
      <c r="H180" s="57"/>
      <c r="I180" s="57"/>
      <c r="J180" s="57"/>
      <c r="K180" s="57"/>
      <c r="L180" s="57"/>
      <c r="M180" s="57"/>
      <c r="N180" s="24"/>
      <c r="O180" s="8" t="s">
        <v>7</v>
      </c>
      <c r="P180" s="20">
        <f>IFERROR(VLOOKUP(C181,'CIDADES DA ROTA SETEMBRO 2024'!B:C,2,0),0)</f>
        <v>0</v>
      </c>
    </row>
    <row r="181" spans="2:16" ht="14.25" customHeight="1" x14ac:dyDescent="0.25">
      <c r="B181" s="8" t="s">
        <v>8</v>
      </c>
      <c r="C181" s="2"/>
      <c r="E181" s="6"/>
      <c r="F181" s="25"/>
      <c r="G181" s="55"/>
      <c r="H181" s="24" t="s">
        <v>18</v>
      </c>
      <c r="I181" s="55"/>
      <c r="J181" s="24" t="s">
        <v>18</v>
      </c>
      <c r="K181" s="55"/>
      <c r="L181" s="55"/>
      <c r="M181" s="6"/>
      <c r="O181" s="8" t="s">
        <v>12</v>
      </c>
      <c r="P181" s="20">
        <f>C180*7</f>
        <v>0</v>
      </c>
    </row>
    <row r="182" spans="2:16" ht="14.25" customHeight="1" x14ac:dyDescent="0.25">
      <c r="B182" t="s">
        <v>13</v>
      </c>
      <c r="O182" s="8" t="s">
        <v>14</v>
      </c>
      <c r="P182" s="20">
        <f>IFERROR(VLOOKUP(E181,ACRÉSCIMOS!A:B,2,0),0)+IFERROR(VLOOKUP(G181,ACRÉSCIMOS!A:B,2,0),0)+IFERROR(VLOOKUP(I181,ACRÉSCIMOS!A:B,2,0),0)+IFERROR(VLOOKUP(M181,ACRÉSCIMOS!A:B,2,0),0)+IFERROR(VLOOKUP(K181,ACRÉSCIMOS!A:B,2,0),0)</f>
        <v>0</v>
      </c>
    </row>
    <row r="183" spans="2:16" ht="14.25" customHeight="1" x14ac:dyDescent="0.25">
      <c r="B183" s="11" t="s">
        <v>15</v>
      </c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O183" s="8" t="s">
        <v>16</v>
      </c>
      <c r="P183" s="21">
        <f>SUM(P180:P182)</f>
        <v>0</v>
      </c>
    </row>
    <row r="184" spans="2:16" ht="14.25" customHeight="1" x14ac:dyDescent="0.25"/>
    <row r="185" spans="2:16" ht="14.25" customHeight="1" x14ac:dyDescent="0.25">
      <c r="B185" t="s">
        <v>1</v>
      </c>
      <c r="C185" s="23" t="str">
        <f>IF(AND('BASE MANIFESTO'!B52=""), "", 'BASE MANIFESTO'!B52)</f>
        <v/>
      </c>
    </row>
    <row r="186" spans="2:16" ht="14.25" customHeight="1" x14ac:dyDescent="0.25">
      <c r="B186" t="s">
        <v>2</v>
      </c>
      <c r="C186" s="42" t="str">
        <f>IF(AND('BASE MANIFESTO'!A52=""), "", 'BASE MANIFESTO'!A52)</f>
        <v/>
      </c>
    </row>
    <row r="187" spans="2:16" ht="14.25" customHeight="1" x14ac:dyDescent="0.25">
      <c r="B187" s="8" t="s">
        <v>5</v>
      </c>
      <c r="C187" s="2"/>
      <c r="E187" s="57" t="s">
        <v>6</v>
      </c>
      <c r="F187" s="57"/>
      <c r="G187" s="57"/>
      <c r="H187" s="57"/>
      <c r="I187" s="57"/>
      <c r="J187" s="57"/>
      <c r="K187" s="57"/>
      <c r="L187" s="57"/>
      <c r="M187" s="57"/>
      <c r="N187" s="24"/>
      <c r="O187" s="8" t="s">
        <v>7</v>
      </c>
      <c r="P187" s="20">
        <f>IFERROR(VLOOKUP(C188,'CIDADES DA ROTA SETEMBRO 2024'!B:C,2,0),0)</f>
        <v>0</v>
      </c>
    </row>
    <row r="188" spans="2:16" ht="14.25" customHeight="1" x14ac:dyDescent="0.25">
      <c r="B188" s="8" t="s">
        <v>8</v>
      </c>
      <c r="C188" s="2"/>
      <c r="E188" s="6"/>
      <c r="F188" s="25"/>
      <c r="G188" s="55"/>
      <c r="H188" s="24" t="s">
        <v>18</v>
      </c>
      <c r="I188" s="55"/>
      <c r="J188" s="24" t="s">
        <v>18</v>
      </c>
      <c r="K188" s="55"/>
      <c r="L188" s="55"/>
      <c r="M188" s="6"/>
      <c r="O188" s="8" t="s">
        <v>12</v>
      </c>
      <c r="P188" s="20">
        <f>C187*7</f>
        <v>0</v>
      </c>
    </row>
    <row r="189" spans="2:16" ht="14.25" customHeight="1" x14ac:dyDescent="0.25">
      <c r="B189" t="s">
        <v>13</v>
      </c>
      <c r="O189" s="8" t="s">
        <v>14</v>
      </c>
      <c r="P189" s="20">
        <f>IFERROR(VLOOKUP(E188,ACRÉSCIMOS!A:B,2,0),0)+IFERROR(VLOOKUP(G188,ACRÉSCIMOS!A:B,2,0),0)+IFERROR(VLOOKUP(I188,ACRÉSCIMOS!A:B,2,0),0)+IFERROR(VLOOKUP(M188,ACRÉSCIMOS!A:B,2,0),0)+IFERROR(VLOOKUP(K188,ACRÉSCIMOS!A:B,2,0),0)</f>
        <v>0</v>
      </c>
    </row>
    <row r="190" spans="2:16" ht="14.25" customHeight="1" x14ac:dyDescent="0.25">
      <c r="B190" s="11" t="s">
        <v>15</v>
      </c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O190" s="8" t="s">
        <v>16</v>
      </c>
      <c r="P190" s="21">
        <f>SUM(P187:P189)</f>
        <v>0</v>
      </c>
    </row>
    <row r="191" spans="2:16" ht="14.25" customHeight="1" x14ac:dyDescent="0.25"/>
    <row r="192" spans="2:16" ht="14.25" customHeight="1" x14ac:dyDescent="0.25">
      <c r="B192" t="s">
        <v>1</v>
      </c>
      <c r="C192" s="23" t="str">
        <f>IF(AND('BASE MANIFESTO'!B59=""), "", 'BASE MANIFESTO'!B59)</f>
        <v/>
      </c>
    </row>
    <row r="193" spans="2:16" ht="14.25" customHeight="1" x14ac:dyDescent="0.25">
      <c r="B193" t="s">
        <v>2</v>
      </c>
      <c r="C193" s="42" t="str">
        <f>IF(AND('BASE MANIFESTO'!A59=""), "", 'BASE MANIFESTO'!A59)</f>
        <v/>
      </c>
    </row>
    <row r="194" spans="2:16" ht="14.25" customHeight="1" x14ac:dyDescent="0.25">
      <c r="B194" s="8" t="s">
        <v>5</v>
      </c>
      <c r="C194" s="2"/>
      <c r="E194" s="57" t="s">
        <v>6</v>
      </c>
      <c r="F194" s="57"/>
      <c r="G194" s="57"/>
      <c r="H194" s="57"/>
      <c r="I194" s="57"/>
      <c r="J194" s="57"/>
      <c r="K194" s="57"/>
      <c r="L194" s="57"/>
      <c r="M194" s="57"/>
      <c r="N194" s="24"/>
      <c r="O194" s="8" t="s">
        <v>7</v>
      </c>
      <c r="P194" s="20">
        <f>IFERROR(VLOOKUP(C195,'CIDADES DA ROTA SETEMBRO 2024'!B:C,2,0),0)</f>
        <v>0</v>
      </c>
    </row>
    <row r="195" spans="2:16" ht="14.25" customHeight="1" x14ac:dyDescent="0.25">
      <c r="B195" s="8" t="s">
        <v>8</v>
      </c>
      <c r="C195" s="2"/>
      <c r="E195" s="6"/>
      <c r="F195" s="25"/>
      <c r="G195" s="55"/>
      <c r="H195" s="24" t="s">
        <v>18</v>
      </c>
      <c r="I195" s="55"/>
      <c r="J195" s="24" t="s">
        <v>18</v>
      </c>
      <c r="K195" s="55"/>
      <c r="L195" s="55"/>
      <c r="M195" s="6"/>
      <c r="O195" s="8" t="s">
        <v>12</v>
      </c>
      <c r="P195" s="20">
        <f>C194*7</f>
        <v>0</v>
      </c>
    </row>
    <row r="196" spans="2:16" ht="14.25" customHeight="1" x14ac:dyDescent="0.25">
      <c r="B196" t="s">
        <v>13</v>
      </c>
      <c r="O196" s="8" t="s">
        <v>14</v>
      </c>
      <c r="P196" s="20">
        <f>IFERROR(VLOOKUP(E195,ACRÉSCIMOS!A:B,2,0),0)+IFERROR(VLOOKUP(G195,ACRÉSCIMOS!A:B,2,0),0)+IFERROR(VLOOKUP(I195,ACRÉSCIMOS!A:B,2,0),0)+IFERROR(VLOOKUP(M195,ACRÉSCIMOS!A:B,2,0),0)+IFERROR(VLOOKUP(K195,ACRÉSCIMOS!A:B,2,0),0)</f>
        <v>0</v>
      </c>
    </row>
    <row r="197" spans="2:16" ht="14.25" customHeight="1" x14ac:dyDescent="0.25">
      <c r="B197" s="11" t="s">
        <v>15</v>
      </c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O197" s="8" t="s">
        <v>16</v>
      </c>
      <c r="P197" s="21">
        <f>SUM(P194:P196)</f>
        <v>0</v>
      </c>
    </row>
    <row r="198" spans="2:16" ht="14.25" customHeight="1" x14ac:dyDescent="0.25"/>
    <row r="199" spans="2:16" ht="14.25" customHeight="1" x14ac:dyDescent="0.25">
      <c r="B199" t="s">
        <v>1</v>
      </c>
      <c r="C199" s="23" t="str">
        <f>IF(AND('BASE MANIFESTO'!B66=""), "", 'BASE MANIFESTO'!B66)</f>
        <v/>
      </c>
    </row>
    <row r="200" spans="2:16" ht="14.25" customHeight="1" x14ac:dyDescent="0.25">
      <c r="B200" t="s">
        <v>2</v>
      </c>
      <c r="C200" s="42" t="str">
        <f>IF(AND('BASE MANIFESTO'!A66=""), "", 'BASE MANIFESTO'!A66)</f>
        <v/>
      </c>
    </row>
    <row r="201" spans="2:16" ht="14.25" customHeight="1" x14ac:dyDescent="0.25">
      <c r="B201" s="8" t="s">
        <v>5</v>
      </c>
      <c r="C201" s="2"/>
      <c r="E201" s="57" t="s">
        <v>6</v>
      </c>
      <c r="F201" s="57"/>
      <c r="G201" s="57"/>
      <c r="H201" s="57"/>
      <c r="I201" s="57"/>
      <c r="J201" s="57"/>
      <c r="K201" s="57"/>
      <c r="L201" s="57"/>
      <c r="M201" s="57"/>
      <c r="N201" s="24"/>
      <c r="O201" s="8" t="s">
        <v>7</v>
      </c>
      <c r="P201" s="20">
        <f>IFERROR(VLOOKUP(C202,'CIDADES DA ROTA SETEMBRO 2024'!B:C,2,0),0)</f>
        <v>0</v>
      </c>
    </row>
    <row r="202" spans="2:16" ht="14.25" customHeight="1" x14ac:dyDescent="0.25">
      <c r="B202" s="8" t="s">
        <v>8</v>
      </c>
      <c r="C202" s="2"/>
      <c r="E202" s="6"/>
      <c r="F202" s="25"/>
      <c r="G202" s="55"/>
      <c r="H202" s="24" t="s">
        <v>18</v>
      </c>
      <c r="I202" s="55"/>
      <c r="J202" s="24" t="s">
        <v>18</v>
      </c>
      <c r="K202" s="55"/>
      <c r="L202" s="55"/>
      <c r="M202" s="6"/>
      <c r="O202" s="8" t="s">
        <v>12</v>
      </c>
      <c r="P202" s="20">
        <f>C201*7</f>
        <v>0</v>
      </c>
    </row>
    <row r="203" spans="2:16" ht="14.25" customHeight="1" x14ac:dyDescent="0.25">
      <c r="B203" t="s">
        <v>13</v>
      </c>
      <c r="O203" s="8" t="s">
        <v>14</v>
      </c>
      <c r="P203" s="20">
        <f>IFERROR(VLOOKUP(E202,ACRÉSCIMOS!A:B,2,0),0)+IFERROR(VLOOKUP(G202,ACRÉSCIMOS!A:B,2,0),0)+IFERROR(VLOOKUP(I202,ACRÉSCIMOS!A:B,2,0),0)+IFERROR(VLOOKUP(M202,ACRÉSCIMOS!A:B,2,0),0)+IFERROR(VLOOKUP(K202,ACRÉSCIMOS!A:B,2,0),0)</f>
        <v>0</v>
      </c>
    </row>
    <row r="204" spans="2:16" ht="14.25" customHeight="1" x14ac:dyDescent="0.25">
      <c r="B204" s="11" t="s">
        <v>15</v>
      </c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O204" s="8" t="s">
        <v>16</v>
      </c>
      <c r="P204" s="21">
        <f>SUM(P201:P203)</f>
        <v>0</v>
      </c>
    </row>
    <row r="205" spans="2:16" ht="14.25" customHeight="1" x14ac:dyDescent="0.25"/>
    <row r="206" spans="2:16" ht="14.25" customHeight="1" x14ac:dyDescent="0.25">
      <c r="B206" t="s">
        <v>1</v>
      </c>
      <c r="C206" s="23" t="str">
        <f>IF(AND('BASE MANIFESTO'!B73=""), "", 'BASE MANIFESTO'!B73)</f>
        <v/>
      </c>
    </row>
    <row r="207" spans="2:16" ht="14.25" customHeight="1" x14ac:dyDescent="0.25">
      <c r="B207" t="s">
        <v>2</v>
      </c>
      <c r="C207" s="42" t="str">
        <f>IF(AND('BASE MANIFESTO'!A73=""), "", 'BASE MANIFESTO'!A73)</f>
        <v/>
      </c>
    </row>
    <row r="208" spans="2:16" ht="14.25" customHeight="1" x14ac:dyDescent="0.25">
      <c r="B208" s="8" t="s">
        <v>5</v>
      </c>
      <c r="C208" s="2"/>
      <c r="E208" s="57" t="s">
        <v>6</v>
      </c>
      <c r="F208" s="57"/>
      <c r="G208" s="57"/>
      <c r="H208" s="57"/>
      <c r="I208" s="57"/>
      <c r="J208" s="57"/>
      <c r="K208" s="57"/>
      <c r="L208" s="57"/>
      <c r="M208" s="57"/>
      <c r="N208" s="24"/>
      <c r="O208" s="8" t="s">
        <v>7</v>
      </c>
      <c r="P208" s="20">
        <f>IFERROR(VLOOKUP(C209,'CIDADES DA ROTA SETEMBRO 2024'!B:C,2,0),0)</f>
        <v>0</v>
      </c>
    </row>
    <row r="209" spans="2:16" ht="14.25" customHeight="1" x14ac:dyDescent="0.25">
      <c r="B209" s="8" t="s">
        <v>8</v>
      </c>
      <c r="C209" s="2"/>
      <c r="E209" s="6"/>
      <c r="F209" s="25"/>
      <c r="G209" s="55"/>
      <c r="H209" s="24" t="s">
        <v>18</v>
      </c>
      <c r="I209" s="55"/>
      <c r="J209" s="24" t="s">
        <v>18</v>
      </c>
      <c r="K209" s="55"/>
      <c r="L209" s="55"/>
      <c r="M209" s="6"/>
      <c r="O209" s="8" t="s">
        <v>12</v>
      </c>
      <c r="P209" s="20">
        <f>C208*7</f>
        <v>0</v>
      </c>
    </row>
    <row r="210" spans="2:16" ht="14.25" customHeight="1" x14ac:dyDescent="0.25">
      <c r="B210" t="s">
        <v>13</v>
      </c>
      <c r="O210" s="8" t="s">
        <v>14</v>
      </c>
      <c r="P210" s="20">
        <f>IFERROR(VLOOKUP(E209,ACRÉSCIMOS!A:B,2,0),0)+IFERROR(VLOOKUP(G209,ACRÉSCIMOS!A:B,2,0),0)+IFERROR(VLOOKUP(I209,ACRÉSCIMOS!A:B,2,0),0)+IFERROR(VLOOKUP(M209,ACRÉSCIMOS!A:B,2,0),0)+IFERROR(VLOOKUP(K209,ACRÉSCIMOS!A:B,2,0),0)</f>
        <v>0</v>
      </c>
    </row>
    <row r="211" spans="2:16" ht="14.25" customHeight="1" x14ac:dyDescent="0.25">
      <c r="B211" s="11" t="s">
        <v>15</v>
      </c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O211" s="8" t="s">
        <v>16</v>
      </c>
      <c r="P211" s="21">
        <f>SUM(P208:P210)</f>
        <v>0</v>
      </c>
    </row>
    <row r="212" spans="2:16" ht="14.25" customHeight="1" x14ac:dyDescent="0.25">
      <c r="B212" s="11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O212" s="32"/>
      <c r="P212" s="33"/>
    </row>
    <row r="213" spans="2:16" ht="14.25" customHeight="1" x14ac:dyDescent="0.25">
      <c r="B213" s="11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O213" s="32"/>
      <c r="P213" s="33"/>
    </row>
    <row r="214" spans="2:16" x14ac:dyDescent="0.25">
      <c r="B214" s="59" t="s">
        <v>41</v>
      </c>
      <c r="C214" s="60">
        <f>P8+P15+P22+P29+P36+P43+P50+P57+P64+P71+P78+P85+P92+P99+P106+P113+P120+P127+P134+P141+P148+P155+P162</f>
        <v>14333.680000000002</v>
      </c>
    </row>
    <row r="215" spans="2:16" x14ac:dyDescent="0.25">
      <c r="B215" s="59"/>
      <c r="C215" s="60"/>
    </row>
    <row r="216" spans="2:16" x14ac:dyDescent="0.25">
      <c r="B216" s="59"/>
      <c r="C216" s="60"/>
    </row>
    <row r="217" spans="2:16" x14ac:dyDescent="0.25">
      <c r="B217" s="59"/>
      <c r="C217" s="60"/>
    </row>
    <row r="218" spans="2:16" x14ac:dyDescent="0.25">
      <c r="B218" t="s">
        <v>42</v>
      </c>
    </row>
    <row r="219" spans="2:16" x14ac:dyDescent="0.25">
      <c r="B219" s="27" t="s">
        <v>43</v>
      </c>
    </row>
    <row r="220" spans="2:16" x14ac:dyDescent="0.25">
      <c r="B220" s="27" t="s">
        <v>44</v>
      </c>
    </row>
    <row r="221" spans="2:16" x14ac:dyDescent="0.25">
      <c r="B221" s="27" t="s">
        <v>45</v>
      </c>
    </row>
    <row r="222" spans="2:16" x14ac:dyDescent="0.25">
      <c r="B222" s="27" t="s">
        <v>46</v>
      </c>
    </row>
    <row r="223" spans="2:16" x14ac:dyDescent="0.25">
      <c r="B223" s="27" t="s">
        <v>47</v>
      </c>
    </row>
    <row r="224" spans="2:16" x14ac:dyDescent="0.25">
      <c r="B224" s="27" t="s">
        <v>48</v>
      </c>
    </row>
  </sheetData>
  <mergeCells count="39">
    <mergeCell ref="E117:M117"/>
    <mergeCell ref="C119:M119"/>
    <mergeCell ref="E110:M110"/>
    <mergeCell ref="C112:M112"/>
    <mergeCell ref="C1:P1"/>
    <mergeCell ref="E19:M19"/>
    <mergeCell ref="E26:M26"/>
    <mergeCell ref="E61:M61"/>
    <mergeCell ref="E5:M5"/>
    <mergeCell ref="E12:M12"/>
    <mergeCell ref="B214:B217"/>
    <mergeCell ref="C214:C217"/>
    <mergeCell ref="E33:M33"/>
    <mergeCell ref="E40:M40"/>
    <mergeCell ref="E47:M47"/>
    <mergeCell ref="E75:M75"/>
    <mergeCell ref="C77:M77"/>
    <mergeCell ref="E54:M54"/>
    <mergeCell ref="E68:M68"/>
    <mergeCell ref="E82:M82"/>
    <mergeCell ref="C84:M84"/>
    <mergeCell ref="E89:M89"/>
    <mergeCell ref="E96:M96"/>
    <mergeCell ref="E103:M103"/>
    <mergeCell ref="E124:M124"/>
    <mergeCell ref="E131:M131"/>
    <mergeCell ref="E159:M159"/>
    <mergeCell ref="E138:M138"/>
    <mergeCell ref="C140:M140"/>
    <mergeCell ref="E145:M145"/>
    <mergeCell ref="C147:M147"/>
    <mergeCell ref="E152:M152"/>
    <mergeCell ref="E201:M201"/>
    <mergeCell ref="E208:M208"/>
    <mergeCell ref="E166:M166"/>
    <mergeCell ref="E173:M173"/>
    <mergeCell ref="E180:M180"/>
    <mergeCell ref="E187:M187"/>
    <mergeCell ref="E194:M194"/>
  </mergeCells>
  <pageMargins left="0.25" right="0.25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2000000}">
          <x14:formula1>
            <xm:f>ACRÉSCIMOS!$A:$A</xm:f>
          </x14:formula1>
          <xm:sqref>G6 G62 I62 K62:M62 E62 G55 I55 K55:M55 E55 G76 I76 K76:M76 E76 G48 I48 K48:M48 E48 I6 K6:M6 E6 G13 I13 K13:M13 E13 G20 I20 K20:M20 E20 G27 I27 K27:M27 E27 G34 I34 K34:M34 E34 G41 I41 K41:M41 E41 G69 I69 K69:M69 E69 G83 I83 K83:M83 E83 G97 I97 K97:M97 E97 G90 I90 K90:M90 E90 G111 I111 K111:M111 E111 G104 I104 K104:M104 E104 G118 I118 K118:M118 E118 G125 I125 K125:M125 E125 G132 I132 K132:M132 E132 G139 I139 K139:M139 E139 G146 I146 K146:M146 E146 G153 I153 K153:M153 E153 G160 I160 K160:M160 E160 G167 I167 K167:M167 E167 G174 I174 K174:M174 E174 G181 I181 K181:M181 E181 G188 I188 K188:M188 E188 G195 I195 K195:M195 E195 G202 I202 K202:M202 E202 G209 I209 K209:M209 E209</xm:sqref>
        </x14:dataValidation>
        <x14:dataValidation type="list" allowBlank="1" showInputMessage="1" showErrorMessage="1" xr:uid="{00000000-0002-0000-0000-000001000000}">
          <x14:formula1>
            <xm:f>MOTORISTAS!$A:$A</xm:f>
          </x14:formula1>
          <xm:sqref>C4</xm:sqref>
        </x14:dataValidation>
        <x14:dataValidation type="list" allowBlank="1" showInputMessage="1" showErrorMessage="1" xr:uid="{185EB7C2-F35B-4046-8DCF-6D54FEFEA321}">
          <x14:formula1>
            <xm:f>'CIDADES DA ROTA SETEMBRO 2024'!$B$3:$B$11</xm:f>
          </x14:formula1>
          <xm:sqref>C6 C13 C20 C27 C34 C41 C48 C55 C62 C69 C76 C83 C90 C97 C104 C111 C118 C125 C132 C139 C146 C153 C160 C167 C174 C181 C188 C195 C202 C209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05A5-9F4A-4D4C-8EF1-381B7C63FC97}">
  <dimension ref="A1:B24"/>
  <sheetViews>
    <sheetView topLeftCell="A11" workbookViewId="0">
      <selection activeCell="A24" sqref="A24:B24"/>
    </sheetView>
  </sheetViews>
  <sheetFormatPr defaultRowHeight="15" x14ac:dyDescent="0.25"/>
  <cols>
    <col min="1" max="1" width="20.140625" customWidth="1"/>
    <col min="2" max="2" width="15.5703125" customWidth="1"/>
  </cols>
  <sheetData>
    <row r="1" spans="1:2" x14ac:dyDescent="0.25">
      <c r="A1" t="s">
        <v>49</v>
      </c>
      <c r="B1" t="s">
        <v>50</v>
      </c>
    </row>
    <row r="2" spans="1:2" x14ac:dyDescent="0.25">
      <c r="A2">
        <v>260574</v>
      </c>
      <c r="B2" s="43">
        <v>45992</v>
      </c>
    </row>
    <row r="3" spans="1:2" x14ac:dyDescent="0.25">
      <c r="A3">
        <v>260807</v>
      </c>
      <c r="B3" s="43">
        <v>45993</v>
      </c>
    </row>
    <row r="4" spans="1:2" x14ac:dyDescent="0.25">
      <c r="A4">
        <v>261273</v>
      </c>
      <c r="B4" s="43">
        <v>45995</v>
      </c>
    </row>
    <row r="5" spans="1:2" x14ac:dyDescent="0.25">
      <c r="A5">
        <v>261498</v>
      </c>
      <c r="B5" s="43">
        <v>45996</v>
      </c>
    </row>
    <row r="6" spans="1:2" x14ac:dyDescent="0.25">
      <c r="A6">
        <v>261660</v>
      </c>
      <c r="B6" s="43">
        <v>45996</v>
      </c>
    </row>
    <row r="7" spans="1:2" x14ac:dyDescent="0.25">
      <c r="A7">
        <v>261756</v>
      </c>
      <c r="B7" s="43">
        <v>45999</v>
      </c>
    </row>
    <row r="8" spans="1:2" x14ac:dyDescent="0.25">
      <c r="A8">
        <v>261969</v>
      </c>
      <c r="B8" s="43">
        <v>46000</v>
      </c>
    </row>
    <row r="9" spans="1:2" x14ac:dyDescent="0.25">
      <c r="A9">
        <v>262190</v>
      </c>
      <c r="B9" s="43">
        <v>46001</v>
      </c>
    </row>
    <row r="10" spans="1:2" x14ac:dyDescent="0.25">
      <c r="A10">
        <v>262199</v>
      </c>
      <c r="B10" s="43">
        <v>46001</v>
      </c>
    </row>
    <row r="11" spans="1:2" x14ac:dyDescent="0.25">
      <c r="A11">
        <v>262422</v>
      </c>
      <c r="B11" s="43">
        <v>46002</v>
      </c>
    </row>
    <row r="12" spans="1:2" x14ac:dyDescent="0.25">
      <c r="A12">
        <v>262430</v>
      </c>
      <c r="B12" s="43">
        <v>46002</v>
      </c>
    </row>
    <row r="13" spans="1:2" x14ac:dyDescent="0.25">
      <c r="A13">
        <v>262640</v>
      </c>
      <c r="B13" s="43">
        <v>46003</v>
      </c>
    </row>
    <row r="14" spans="1:2" x14ac:dyDescent="0.25">
      <c r="A14">
        <v>262642</v>
      </c>
      <c r="B14" s="43">
        <v>46003</v>
      </c>
    </row>
    <row r="15" spans="1:2" x14ac:dyDescent="0.25">
      <c r="A15">
        <v>262997</v>
      </c>
      <c r="B15" s="43">
        <v>46004</v>
      </c>
    </row>
    <row r="16" spans="1:2" x14ac:dyDescent="0.25">
      <c r="A16">
        <v>262875</v>
      </c>
      <c r="B16" s="43">
        <v>46006</v>
      </c>
    </row>
    <row r="17" spans="1:2" x14ac:dyDescent="0.25">
      <c r="A17">
        <v>262878</v>
      </c>
      <c r="B17" s="43">
        <v>46006</v>
      </c>
    </row>
    <row r="18" spans="1:2" x14ac:dyDescent="0.25">
      <c r="A18">
        <v>263142</v>
      </c>
      <c r="B18" s="43">
        <v>46007</v>
      </c>
    </row>
    <row r="19" spans="1:2" x14ac:dyDescent="0.25">
      <c r="A19">
        <v>263143</v>
      </c>
      <c r="B19" s="43">
        <v>46007</v>
      </c>
    </row>
    <row r="20" spans="1:2" x14ac:dyDescent="0.25">
      <c r="A20">
        <v>263349</v>
      </c>
      <c r="B20" s="43">
        <v>46008</v>
      </c>
    </row>
    <row r="21" spans="1:2" x14ac:dyDescent="0.25">
      <c r="A21">
        <v>263578</v>
      </c>
      <c r="B21" s="43">
        <v>46009</v>
      </c>
    </row>
    <row r="22" spans="1:2" x14ac:dyDescent="0.25">
      <c r="A22">
        <v>263652</v>
      </c>
      <c r="B22" s="43">
        <v>46009</v>
      </c>
    </row>
    <row r="23" spans="1:2" x14ac:dyDescent="0.25">
      <c r="A23">
        <v>263789</v>
      </c>
      <c r="B23" s="43">
        <v>46010</v>
      </c>
    </row>
    <row r="24" spans="1:2" x14ac:dyDescent="0.25">
      <c r="A24">
        <v>263846</v>
      </c>
      <c r="B24" s="43">
        <v>46008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/>
  <dimension ref="A1:D12"/>
  <sheetViews>
    <sheetView workbookViewId="0">
      <selection activeCell="A5" sqref="A5:XFD5"/>
    </sheetView>
  </sheetViews>
  <sheetFormatPr defaultRowHeight="15" x14ac:dyDescent="0.25"/>
  <cols>
    <col min="1" max="1" width="95.140625" bestFit="1" customWidth="1"/>
    <col min="3" max="3" width="14.28515625" bestFit="1" customWidth="1"/>
  </cols>
  <sheetData>
    <row r="1" spans="1:4" ht="15.75" x14ac:dyDescent="0.25">
      <c r="A1" s="4" t="s">
        <v>51</v>
      </c>
      <c r="C1" s="5" t="s">
        <v>52</v>
      </c>
      <c r="D1" s="5">
        <f>COUNTA(A2:A26)</f>
        <v>11</v>
      </c>
    </row>
    <row r="2" spans="1:4" x14ac:dyDescent="0.25">
      <c r="A2" t="s">
        <v>53</v>
      </c>
    </row>
    <row r="3" spans="1:4" x14ac:dyDescent="0.25">
      <c r="A3" t="s">
        <v>54</v>
      </c>
    </row>
    <row r="4" spans="1:4" x14ac:dyDescent="0.25">
      <c r="A4" t="s">
        <v>55</v>
      </c>
    </row>
    <row r="5" spans="1:4" x14ac:dyDescent="0.25">
      <c r="A5" t="s">
        <v>56</v>
      </c>
    </row>
    <row r="6" spans="1:4" x14ac:dyDescent="0.25">
      <c r="A6" t="s">
        <v>57</v>
      </c>
    </row>
    <row r="7" spans="1:4" x14ac:dyDescent="0.25">
      <c r="A7" t="s">
        <v>58</v>
      </c>
    </row>
    <row r="8" spans="1:4" x14ac:dyDescent="0.25">
      <c r="A8" t="s">
        <v>59</v>
      </c>
    </row>
    <row r="9" spans="1:4" x14ac:dyDescent="0.25">
      <c r="A9" t="s">
        <v>60</v>
      </c>
    </row>
    <row r="10" spans="1:4" x14ac:dyDescent="0.25">
      <c r="A10" t="s">
        <v>61</v>
      </c>
    </row>
    <row r="11" spans="1:4" x14ac:dyDescent="0.25">
      <c r="A11" t="s">
        <v>62</v>
      </c>
    </row>
    <row r="12" spans="1:4" x14ac:dyDescent="0.25">
      <c r="A12" t="s">
        <v>63</v>
      </c>
    </row>
  </sheetData>
  <autoFilter ref="A1:A12" xr:uid="{00000000-0001-0000-0100-000000000000}">
    <sortState xmlns:xlrd2="http://schemas.microsoft.com/office/spreadsheetml/2017/richdata2" ref="A2:A12">
      <sortCondition ref="A1"/>
    </sortState>
  </autoFilter>
  <pageMargins left="0.511811024" right="0.511811024" top="0.78740157499999996" bottom="0.78740157499999996" header="0.31496062000000002" footer="0.31496062000000002"/>
  <pageSetup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4D09-75C5-4A2A-928E-B67873762995}">
  <dimension ref="B1:N12"/>
  <sheetViews>
    <sheetView showGridLines="0" topLeftCell="B1" zoomScale="90" zoomScaleNormal="90" workbookViewId="0">
      <selection activeCell="I6" sqref="I6"/>
    </sheetView>
  </sheetViews>
  <sheetFormatPr defaultRowHeight="15" x14ac:dyDescent="0.25"/>
  <cols>
    <col min="1" max="1" width="1.7109375" customWidth="1"/>
    <col min="2" max="2" width="15.5703125" bestFit="1" customWidth="1"/>
    <col min="3" max="3" width="11.5703125" bestFit="1" customWidth="1"/>
    <col min="4" max="4" width="17.42578125" bestFit="1" customWidth="1"/>
    <col min="5" max="5" width="23.28515625" bestFit="1" customWidth="1"/>
    <col min="6" max="6" width="26.85546875" bestFit="1" customWidth="1"/>
    <col min="7" max="7" width="17.42578125" bestFit="1" customWidth="1"/>
    <col min="8" max="8" width="13.7109375" bestFit="1" customWidth="1"/>
    <col min="9" max="9" width="15.85546875" bestFit="1" customWidth="1"/>
    <col min="10" max="10" width="6.42578125" customWidth="1"/>
    <col min="11" max="11" width="5.42578125" customWidth="1"/>
    <col min="12" max="12" width="58.7109375" bestFit="1" customWidth="1"/>
  </cols>
  <sheetData>
    <row r="1" spans="2:14" ht="75.75" customHeight="1" x14ac:dyDescent="0.25">
      <c r="N1" t="s">
        <v>64</v>
      </c>
    </row>
    <row r="2" spans="2:14" x14ac:dyDescent="0.25">
      <c r="B2" s="41" t="s">
        <v>65</v>
      </c>
      <c r="C2" s="41" t="s">
        <v>66</v>
      </c>
      <c r="D2" s="62" t="s">
        <v>67</v>
      </c>
      <c r="E2" s="62"/>
      <c r="F2" s="62"/>
      <c r="G2" s="62"/>
      <c r="H2" s="62"/>
      <c r="I2" s="62"/>
      <c r="J2" s="62"/>
      <c r="K2" s="62"/>
    </row>
    <row r="3" spans="2:14" x14ac:dyDescent="0.25">
      <c r="B3" s="1" t="s">
        <v>68</v>
      </c>
      <c r="C3" s="7">
        <v>550</v>
      </c>
      <c r="D3" s="3"/>
      <c r="E3" s="3"/>
      <c r="F3" s="31" t="s">
        <v>69</v>
      </c>
      <c r="G3" s="3"/>
      <c r="H3" s="3"/>
      <c r="I3" s="3"/>
      <c r="J3" s="3"/>
      <c r="K3" s="3"/>
      <c r="L3" t="str">
        <f>CONCATENATE(D3,$N$1,E3,$N$1,F3,$N$1,G3,$N$1,$H$3,$N$1,I3,$N$1,J3,$N$1,K3)</f>
        <v>--S.J.DO RIO PRETO-----</v>
      </c>
    </row>
    <row r="4" spans="2:14" x14ac:dyDescent="0.25">
      <c r="B4" s="1" t="s">
        <v>70</v>
      </c>
      <c r="C4" s="7">
        <v>430</v>
      </c>
      <c r="D4" s="3" t="s">
        <v>71</v>
      </c>
      <c r="E4" s="31" t="s">
        <v>72</v>
      </c>
      <c r="F4" s="3" t="s">
        <v>73</v>
      </c>
      <c r="G4" s="31" t="s">
        <v>74</v>
      </c>
      <c r="H4" s="3" t="s">
        <v>75</v>
      </c>
      <c r="I4" s="3"/>
      <c r="J4" s="3"/>
      <c r="K4" s="3"/>
      <c r="L4" t="str">
        <f t="shared" ref="L4:L11" si="0">CONCATENATE(D4,$N$1,E4,$N$1,F4,$N$1,G4,$N$1,$H$3,$N$1,I4,$N$1,J4,$N$1,K4)</f>
        <v>BEBEDOURO-BARRETOS-OLIMPIA-CATANDUVA----</v>
      </c>
    </row>
    <row r="5" spans="2:14" x14ac:dyDescent="0.25">
      <c r="B5" s="1" t="s">
        <v>76</v>
      </c>
      <c r="C5" s="7">
        <v>390</v>
      </c>
      <c r="D5" s="3" t="s">
        <v>77</v>
      </c>
      <c r="E5" s="31" t="s">
        <v>78</v>
      </c>
      <c r="F5" s="3" t="s">
        <v>79</v>
      </c>
      <c r="G5" s="3" t="s">
        <v>80</v>
      </c>
      <c r="H5" s="3"/>
      <c r="I5" s="3"/>
      <c r="J5" s="3"/>
      <c r="K5" s="3"/>
      <c r="L5" t="str">
        <f t="shared" si="0"/>
        <v>FRANCA-PASSOS-SÃO SEBASTIAO DO PARAISO-ALTINOPOLIS----</v>
      </c>
    </row>
    <row r="6" spans="2:14" x14ac:dyDescent="0.25">
      <c r="B6" s="1" t="s">
        <v>9</v>
      </c>
      <c r="C6" s="7">
        <v>500</v>
      </c>
      <c r="D6" s="2" t="s">
        <v>81</v>
      </c>
      <c r="E6" s="2" t="s">
        <v>82</v>
      </c>
      <c r="F6" s="3" t="s">
        <v>83</v>
      </c>
      <c r="G6" s="3" t="s">
        <v>84</v>
      </c>
      <c r="H6" s="3" t="s">
        <v>85</v>
      </c>
      <c r="I6" t="s">
        <v>86</v>
      </c>
      <c r="J6" s="3"/>
      <c r="K6" s="3"/>
      <c r="L6" t="str">
        <f t="shared" si="0"/>
        <v>PIRASSUNUNGA-SÃO JOÃO DA BOA VISTA-POÇOS DE CALDAS-GUAXUPE--PORTO FERREIRA--</v>
      </c>
    </row>
    <row r="7" spans="2:14" x14ac:dyDescent="0.25">
      <c r="B7" s="1" t="s">
        <v>31</v>
      </c>
      <c r="C7" s="7">
        <v>600</v>
      </c>
      <c r="D7" s="34" t="s">
        <v>83</v>
      </c>
      <c r="E7" s="31" t="s">
        <v>87</v>
      </c>
      <c r="F7" s="34" t="s">
        <v>85</v>
      </c>
      <c r="G7" s="34"/>
      <c r="H7" s="34"/>
      <c r="I7" s="34"/>
      <c r="J7" s="34"/>
      <c r="K7" s="34"/>
      <c r="L7" t="str">
        <f t="shared" si="0"/>
        <v>POÇOS DE CALDAS-ALFENAS-MOCOCA-----</v>
      </c>
    </row>
    <row r="8" spans="2:14" x14ac:dyDescent="0.25">
      <c r="B8" s="1">
        <v>4</v>
      </c>
      <c r="C8" s="7">
        <v>410</v>
      </c>
      <c r="D8" s="3" t="s">
        <v>25</v>
      </c>
      <c r="E8" s="3" t="s">
        <v>88</v>
      </c>
      <c r="F8" s="3" t="s">
        <v>89</v>
      </c>
      <c r="G8" s="3" t="s">
        <v>90</v>
      </c>
      <c r="H8" s="3"/>
      <c r="I8" s="3"/>
      <c r="J8" s="3"/>
      <c r="K8" s="3"/>
      <c r="L8" t="str">
        <f t="shared" si="0"/>
        <v>SÃO CARLOS-JAU-BAURU-PEDERNEIRAS----</v>
      </c>
    </row>
    <row r="9" spans="2:14" x14ac:dyDescent="0.25">
      <c r="B9" s="1" t="s">
        <v>33</v>
      </c>
      <c r="C9" s="7">
        <v>685</v>
      </c>
      <c r="D9" s="3" t="s">
        <v>91</v>
      </c>
      <c r="E9" s="3" t="s">
        <v>92</v>
      </c>
      <c r="F9" s="3" t="s">
        <v>93</v>
      </c>
      <c r="G9" s="3" t="s">
        <v>94</v>
      </c>
      <c r="H9" s="31" t="s">
        <v>33</v>
      </c>
      <c r="I9" s="3"/>
      <c r="J9" s="3"/>
      <c r="K9" s="3"/>
      <c r="L9" t="str">
        <f t="shared" si="0"/>
        <v>ITUVERAVA-ORLANDIA-SÃO JOAQUIM DA BARRA-UBERABA----</v>
      </c>
    </row>
    <row r="10" spans="2:14" x14ac:dyDescent="0.25">
      <c r="B10" s="1" t="s">
        <v>24</v>
      </c>
      <c r="C10" s="7">
        <v>300</v>
      </c>
      <c r="D10" s="3" t="s">
        <v>95</v>
      </c>
      <c r="E10" s="31" t="s">
        <v>24</v>
      </c>
      <c r="F10" s="3" t="s">
        <v>96</v>
      </c>
      <c r="G10" s="3" t="s">
        <v>97</v>
      </c>
      <c r="H10" s="3"/>
      <c r="I10" s="3"/>
      <c r="J10" s="3"/>
      <c r="K10" s="3"/>
      <c r="L10" t="str">
        <f t="shared" si="0"/>
        <v>AMERICO-ARARAQUARA-MATAO-JABOTICABAL----</v>
      </c>
    </row>
    <row r="11" spans="2:14" x14ac:dyDescent="0.25">
      <c r="B11" s="1" t="s">
        <v>98</v>
      </c>
      <c r="C11" s="7">
        <v>270</v>
      </c>
      <c r="D11" s="31" t="s">
        <v>99</v>
      </c>
      <c r="E11" s="3"/>
      <c r="F11" s="3"/>
      <c r="G11" s="3"/>
      <c r="H11" s="3"/>
      <c r="I11" s="3"/>
      <c r="J11" s="3"/>
      <c r="K11" s="3"/>
      <c r="L11" t="str">
        <f t="shared" si="0"/>
        <v>RIBEIRÃO PRETO-------</v>
      </c>
    </row>
    <row r="12" spans="2:14" x14ac:dyDescent="0.25">
      <c r="B12" s="9"/>
    </row>
  </sheetData>
  <mergeCells count="1">
    <mergeCell ref="D2:K2"/>
  </mergeCells>
  <pageMargins left="0.511811024" right="0.511811024" top="0.78740157499999996" bottom="0.78740157499999996" header="0.31496062000000002" footer="0.31496062000000002"/>
  <pageSetup orientation="portrait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/>
  <dimension ref="B1:N15"/>
  <sheetViews>
    <sheetView showGridLines="0" zoomScale="90" zoomScaleNormal="90" workbookViewId="0"/>
  </sheetViews>
  <sheetFormatPr defaultRowHeight="15" x14ac:dyDescent="0.25"/>
  <cols>
    <col min="1" max="1" width="1.7109375" customWidth="1"/>
    <col min="2" max="2" width="15.5703125" bestFit="1" customWidth="1"/>
    <col min="3" max="3" width="11.5703125" bestFit="1" customWidth="1"/>
    <col min="4" max="4" width="17.42578125" bestFit="1" customWidth="1"/>
    <col min="5" max="5" width="21" bestFit="1" customWidth="1"/>
    <col min="6" max="6" width="26.85546875" bestFit="1" customWidth="1"/>
    <col min="7" max="7" width="14.140625" customWidth="1"/>
    <col min="8" max="8" width="14.28515625" customWidth="1"/>
    <col min="9" max="9" width="6" customWidth="1"/>
    <col min="10" max="10" width="6.42578125" customWidth="1"/>
    <col min="11" max="11" width="5.42578125" customWidth="1"/>
    <col min="12" max="12" width="58.7109375" bestFit="1" customWidth="1"/>
  </cols>
  <sheetData>
    <row r="1" spans="2:14" ht="75.75" customHeight="1" x14ac:dyDescent="0.25">
      <c r="N1" t="s">
        <v>64</v>
      </c>
    </row>
    <row r="2" spans="2:14" x14ac:dyDescent="0.25">
      <c r="B2" s="41" t="s">
        <v>65</v>
      </c>
      <c r="C2" s="41" t="s">
        <v>66</v>
      </c>
      <c r="D2" s="62" t="s">
        <v>67</v>
      </c>
      <c r="E2" s="62"/>
      <c r="F2" s="62"/>
      <c r="G2" s="62"/>
      <c r="H2" s="62"/>
      <c r="I2" s="62"/>
      <c r="J2" s="62"/>
      <c r="K2" s="62"/>
    </row>
    <row r="3" spans="2:14" x14ac:dyDescent="0.25">
      <c r="B3" s="1" t="s">
        <v>68</v>
      </c>
      <c r="C3" s="7">
        <v>550</v>
      </c>
      <c r="D3" s="3" t="s">
        <v>71</v>
      </c>
      <c r="E3" s="3" t="s">
        <v>73</v>
      </c>
      <c r="F3" s="31" t="s">
        <v>69</v>
      </c>
      <c r="G3" s="3"/>
      <c r="H3" s="3"/>
      <c r="I3" s="3"/>
      <c r="J3" s="3"/>
      <c r="K3" s="3"/>
      <c r="L3" t="str">
        <f t="shared" ref="L3:L15" si="0">CONCATENATE(D3,$N$1,E3,$N$1,F3,$N$1,G3,$N$1,$H$3,$N$1,I3,$N$1,J3,$N$1,K3)</f>
        <v>BEBEDOURO-OLIMPIA-S.J.DO RIO PRETO-----</v>
      </c>
    </row>
    <row r="4" spans="2:14" x14ac:dyDescent="0.25">
      <c r="B4" s="52" t="s">
        <v>100</v>
      </c>
      <c r="C4" s="53">
        <v>450</v>
      </c>
      <c r="D4" s="54" t="s">
        <v>73</v>
      </c>
      <c r="E4" s="54" t="s">
        <v>69</v>
      </c>
      <c r="F4" s="54" t="s">
        <v>74</v>
      </c>
      <c r="G4" s="54" t="s">
        <v>97</v>
      </c>
      <c r="H4" s="54"/>
      <c r="I4" s="54"/>
      <c r="J4" s="54"/>
      <c r="K4" s="54"/>
      <c r="L4" t="str">
        <f t="shared" si="0"/>
        <v>OLIMPIA-S.J.DO RIO PRETO-CATANDUVA-JABOTICABAL----</v>
      </c>
    </row>
    <row r="5" spans="2:14" x14ac:dyDescent="0.25">
      <c r="B5" s="52" t="s">
        <v>101</v>
      </c>
      <c r="C5" s="53">
        <v>330</v>
      </c>
      <c r="D5" s="54" t="s">
        <v>71</v>
      </c>
      <c r="E5" s="54" t="s">
        <v>72</v>
      </c>
      <c r="F5" s="54" t="s">
        <v>73</v>
      </c>
      <c r="G5" s="54"/>
      <c r="H5" s="54"/>
      <c r="I5" s="54"/>
      <c r="J5" s="54"/>
      <c r="K5" s="54"/>
      <c r="L5" t="str">
        <f t="shared" si="0"/>
        <v>BEBEDOURO-BARRETOS-OLIMPIA-----</v>
      </c>
    </row>
    <row r="6" spans="2:14" x14ac:dyDescent="0.25">
      <c r="B6" s="1" t="s">
        <v>70</v>
      </c>
      <c r="C6" s="7">
        <v>430</v>
      </c>
      <c r="D6" s="3" t="s">
        <v>71</v>
      </c>
      <c r="E6" s="31" t="s">
        <v>72</v>
      </c>
      <c r="F6" s="3" t="s">
        <v>73</v>
      </c>
      <c r="G6" s="31" t="s">
        <v>74</v>
      </c>
      <c r="H6" s="3" t="s">
        <v>97</v>
      </c>
      <c r="I6" s="3"/>
      <c r="J6" s="3"/>
      <c r="K6" s="3"/>
      <c r="L6" t="str">
        <f t="shared" si="0"/>
        <v>BEBEDOURO-BARRETOS-OLIMPIA-CATANDUVA----</v>
      </c>
    </row>
    <row r="7" spans="2:14" x14ac:dyDescent="0.25">
      <c r="B7" s="52" t="s">
        <v>102</v>
      </c>
      <c r="C7" s="53">
        <v>200</v>
      </c>
      <c r="D7" s="54" t="s">
        <v>77</v>
      </c>
      <c r="E7" s="54" t="s">
        <v>103</v>
      </c>
      <c r="F7" s="54"/>
      <c r="G7" s="54"/>
      <c r="H7" s="54"/>
      <c r="I7" s="54"/>
      <c r="J7" s="54"/>
      <c r="K7" s="54"/>
      <c r="L7" t="str">
        <f t="shared" si="0"/>
        <v>FRANCA-BATATAIS------</v>
      </c>
    </row>
    <row r="8" spans="2:14" x14ac:dyDescent="0.25">
      <c r="B8" s="1" t="s">
        <v>76</v>
      </c>
      <c r="C8" s="7">
        <v>390</v>
      </c>
      <c r="D8" s="3" t="s">
        <v>77</v>
      </c>
      <c r="E8" s="31" t="s">
        <v>78</v>
      </c>
      <c r="F8" s="3" t="s">
        <v>79</v>
      </c>
      <c r="G8" s="3" t="s">
        <v>80</v>
      </c>
      <c r="H8" s="3"/>
      <c r="I8" s="3"/>
      <c r="J8" s="3"/>
      <c r="K8" s="3"/>
      <c r="L8" t="str">
        <f t="shared" si="0"/>
        <v>FRANCA-PASSOS-SÃO SEBASTIAO DO PARAISO-ALTINOPOLIS----</v>
      </c>
    </row>
    <row r="9" spans="2:14" x14ac:dyDescent="0.25">
      <c r="B9" s="1" t="s">
        <v>9</v>
      </c>
      <c r="C9" s="7">
        <v>460</v>
      </c>
      <c r="D9" s="3" t="s">
        <v>83</v>
      </c>
      <c r="E9" s="3" t="s">
        <v>84</v>
      </c>
      <c r="F9" s="3" t="s">
        <v>85</v>
      </c>
      <c r="G9" s="3"/>
      <c r="H9" s="3"/>
      <c r="I9" s="3"/>
      <c r="J9" s="3"/>
      <c r="K9" s="3"/>
      <c r="L9" t="str">
        <f t="shared" si="0"/>
        <v>POÇOS DE CALDAS-GUAXUPE-MOCOCA-----</v>
      </c>
    </row>
    <row r="10" spans="2:14" x14ac:dyDescent="0.25">
      <c r="B10" s="35" t="s">
        <v>104</v>
      </c>
      <c r="C10" s="36">
        <v>560</v>
      </c>
      <c r="D10" s="37" t="s">
        <v>86</v>
      </c>
      <c r="E10" s="37" t="s">
        <v>83</v>
      </c>
      <c r="F10" s="37" t="s">
        <v>105</v>
      </c>
      <c r="G10" s="37" t="s">
        <v>78</v>
      </c>
      <c r="H10" s="37"/>
      <c r="I10" s="37"/>
      <c r="J10" s="37"/>
      <c r="K10" s="37"/>
      <c r="L10" t="str">
        <f t="shared" si="0"/>
        <v>PORTO FERREIRA-POÇOS DE CALDAS-GUAXUPÉ-PASSOS----</v>
      </c>
    </row>
    <row r="11" spans="2:14" x14ac:dyDescent="0.25">
      <c r="B11" s="1" t="s">
        <v>31</v>
      </c>
      <c r="C11" s="7">
        <v>570</v>
      </c>
      <c r="D11" s="34" t="s">
        <v>83</v>
      </c>
      <c r="E11" s="31" t="s">
        <v>87</v>
      </c>
      <c r="F11" s="34" t="s">
        <v>85</v>
      </c>
      <c r="G11" s="34"/>
      <c r="H11" s="34"/>
      <c r="I11" s="34"/>
      <c r="J11" s="34"/>
      <c r="K11" s="34"/>
      <c r="L11" t="str">
        <f t="shared" si="0"/>
        <v>POÇOS DE CALDAS-ALFENAS-MOCOCA-----</v>
      </c>
    </row>
    <row r="12" spans="2:14" x14ac:dyDescent="0.25">
      <c r="B12" s="1">
        <v>4</v>
      </c>
      <c r="C12" s="7">
        <v>410</v>
      </c>
      <c r="D12" s="3" t="s">
        <v>25</v>
      </c>
      <c r="E12" s="3" t="s">
        <v>88</v>
      </c>
      <c r="F12" s="3" t="s">
        <v>89</v>
      </c>
      <c r="G12" s="3" t="s">
        <v>90</v>
      </c>
      <c r="H12" s="3"/>
      <c r="I12" s="3"/>
      <c r="J12" s="3"/>
      <c r="K12" s="3"/>
      <c r="L12" t="str">
        <f t="shared" si="0"/>
        <v>SÃO CARLOS-JAU-BAURU-PEDERNEIRAS----</v>
      </c>
    </row>
    <row r="13" spans="2:14" x14ac:dyDescent="0.25">
      <c r="B13" s="1" t="s">
        <v>33</v>
      </c>
      <c r="C13" s="7">
        <v>685</v>
      </c>
      <c r="D13" s="3" t="s">
        <v>91</v>
      </c>
      <c r="E13" s="3" t="s">
        <v>92</v>
      </c>
      <c r="F13" s="3" t="s">
        <v>93</v>
      </c>
      <c r="G13" s="3" t="s">
        <v>94</v>
      </c>
      <c r="H13" s="31" t="s">
        <v>33</v>
      </c>
      <c r="I13" s="3"/>
      <c r="J13" s="3"/>
      <c r="K13" s="3"/>
      <c r="L13" t="str">
        <f t="shared" si="0"/>
        <v>ITUVERAVA-ORLANDIA-SÃO JOAQUIM DA BARRA-UBERABA----</v>
      </c>
    </row>
    <row r="14" spans="2:14" x14ac:dyDescent="0.25">
      <c r="B14" s="1" t="s">
        <v>24</v>
      </c>
      <c r="C14" s="7">
        <v>300</v>
      </c>
      <c r="D14" s="3" t="s">
        <v>95</v>
      </c>
      <c r="E14" s="31" t="s">
        <v>24</v>
      </c>
      <c r="F14" s="3" t="s">
        <v>96</v>
      </c>
      <c r="G14" s="3" t="s">
        <v>97</v>
      </c>
      <c r="H14" s="3" t="s">
        <v>75</v>
      </c>
      <c r="I14" s="3"/>
      <c r="J14" s="3"/>
      <c r="K14" s="3"/>
      <c r="L14" t="str">
        <f t="shared" si="0"/>
        <v>AMERICO-ARARAQUARA-MATAO-JABOTICABAL----</v>
      </c>
    </row>
    <row r="15" spans="2:14" x14ac:dyDescent="0.25">
      <c r="B15" s="1" t="s">
        <v>98</v>
      </c>
      <c r="C15" s="7">
        <v>270</v>
      </c>
      <c r="D15" s="31" t="s">
        <v>99</v>
      </c>
      <c r="E15" s="3"/>
      <c r="F15" s="3"/>
      <c r="G15" s="3"/>
      <c r="H15" s="3"/>
      <c r="I15" s="3"/>
      <c r="J15" s="3"/>
      <c r="K15" s="3"/>
      <c r="L15" t="str">
        <f t="shared" si="0"/>
        <v>RIBEIRÃO PRETO-------</v>
      </c>
    </row>
  </sheetData>
  <mergeCells count="1">
    <mergeCell ref="D2:K2"/>
  </mergeCells>
  <pageMargins left="0.511811024" right="0.511811024" top="0.78740157499999996" bottom="0.78740157499999996" header="0.31496062000000002" footer="0.31496062000000002"/>
  <pageSetup orientation="portrait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1"/>
  <dimension ref="A1:D152"/>
  <sheetViews>
    <sheetView topLeftCell="A135" workbookViewId="0">
      <selection activeCell="B152" sqref="B152"/>
    </sheetView>
  </sheetViews>
  <sheetFormatPr defaultRowHeight="15" x14ac:dyDescent="0.25"/>
  <cols>
    <col min="1" max="1" width="27" style="6" bestFit="1" customWidth="1"/>
    <col min="2" max="2" width="19.28515625" style="14" customWidth="1"/>
    <col min="3" max="3" width="24.85546875" style="2" customWidth="1"/>
    <col min="4" max="4" width="16.42578125" bestFit="1" customWidth="1"/>
  </cols>
  <sheetData>
    <row r="1" spans="1:4" s="18" customFormat="1" ht="38.25" customHeight="1" x14ac:dyDescent="0.25">
      <c r="A1" s="15" t="s">
        <v>67</v>
      </c>
      <c r="B1" s="16" t="s">
        <v>106</v>
      </c>
      <c r="C1" s="15" t="s">
        <v>107</v>
      </c>
      <c r="D1" s="17">
        <v>1.02</v>
      </c>
    </row>
    <row r="2" spans="1:4" s="18" customFormat="1" ht="38.25" customHeight="1" x14ac:dyDescent="0.25">
      <c r="A2" s="12" t="s">
        <v>108</v>
      </c>
      <c r="B2" s="22">
        <f>C2*D1</f>
        <v>177.48</v>
      </c>
      <c r="C2" s="13">
        <v>174</v>
      </c>
      <c r="D2" s="17"/>
    </row>
    <row r="3" spans="1:4" x14ac:dyDescent="0.25">
      <c r="A3" s="12" t="s">
        <v>109</v>
      </c>
      <c r="B3" s="22">
        <f>D1*C3</f>
        <v>268.26</v>
      </c>
      <c r="C3" s="13">
        <v>263</v>
      </c>
      <c r="D3" s="29"/>
    </row>
    <row r="4" spans="1:4" x14ac:dyDescent="0.25">
      <c r="A4" s="6" t="s">
        <v>110</v>
      </c>
      <c r="B4" s="2">
        <f>C4*$D$1</f>
        <v>38.76</v>
      </c>
      <c r="C4" s="14">
        <v>38</v>
      </c>
      <c r="D4" t="s">
        <v>111</v>
      </c>
    </row>
    <row r="5" spans="1:4" x14ac:dyDescent="0.25">
      <c r="A5" s="6" t="s">
        <v>38</v>
      </c>
      <c r="B5" s="14">
        <f t="shared" ref="B5:B35" si="0">C5*$D$1</f>
        <v>52.02</v>
      </c>
      <c r="C5" s="14">
        <v>51</v>
      </c>
    </row>
    <row r="6" spans="1:4" x14ac:dyDescent="0.25">
      <c r="A6" s="6" t="s">
        <v>112</v>
      </c>
      <c r="B6" s="14">
        <f t="shared" si="0"/>
        <v>157.08000000000001</v>
      </c>
      <c r="C6" s="14">
        <v>154</v>
      </c>
    </row>
    <row r="7" spans="1:4" x14ac:dyDescent="0.25">
      <c r="A7" s="6" t="s">
        <v>113</v>
      </c>
      <c r="B7" s="14">
        <f t="shared" si="0"/>
        <v>19.38</v>
      </c>
      <c r="C7" s="14">
        <v>19</v>
      </c>
    </row>
    <row r="8" spans="1:4" x14ac:dyDescent="0.25">
      <c r="A8" s="6" t="s">
        <v>114</v>
      </c>
      <c r="B8" s="14">
        <f t="shared" si="0"/>
        <v>78.540000000000006</v>
      </c>
      <c r="C8" s="14">
        <v>77</v>
      </c>
    </row>
    <row r="9" spans="1:4" x14ac:dyDescent="0.25">
      <c r="A9" s="6" t="s">
        <v>72</v>
      </c>
      <c r="B9" s="14">
        <f t="shared" si="0"/>
        <v>52.02</v>
      </c>
      <c r="C9" s="14">
        <v>51</v>
      </c>
    </row>
    <row r="10" spans="1:4" x14ac:dyDescent="0.25">
      <c r="A10" s="6" t="s">
        <v>115</v>
      </c>
      <c r="B10" s="14">
        <f t="shared" si="0"/>
        <v>102</v>
      </c>
      <c r="C10" s="14">
        <v>100</v>
      </c>
    </row>
    <row r="11" spans="1:4" x14ac:dyDescent="0.25">
      <c r="A11" s="6" t="s">
        <v>116</v>
      </c>
      <c r="B11" s="14">
        <f t="shared" si="0"/>
        <v>77.52</v>
      </c>
      <c r="C11" s="14">
        <v>76</v>
      </c>
    </row>
    <row r="12" spans="1:4" x14ac:dyDescent="0.25">
      <c r="A12" s="6" t="s">
        <v>117</v>
      </c>
      <c r="B12" s="14">
        <f t="shared" si="0"/>
        <v>111.18</v>
      </c>
      <c r="C12" s="14">
        <v>109</v>
      </c>
    </row>
    <row r="13" spans="1:4" x14ac:dyDescent="0.25">
      <c r="A13" s="6" t="s">
        <v>118</v>
      </c>
      <c r="B13" s="14">
        <f t="shared" si="0"/>
        <v>91.8</v>
      </c>
      <c r="C13" s="14">
        <v>90</v>
      </c>
    </row>
    <row r="14" spans="1:4" x14ac:dyDescent="0.25">
      <c r="A14" s="6" t="s">
        <v>119</v>
      </c>
      <c r="B14" s="14">
        <f t="shared" si="0"/>
        <v>25.5</v>
      </c>
      <c r="C14" s="14">
        <v>25</v>
      </c>
    </row>
    <row r="15" spans="1:4" x14ac:dyDescent="0.25">
      <c r="A15" s="6" t="s">
        <v>120</v>
      </c>
      <c r="B15" s="14">
        <f t="shared" si="0"/>
        <v>52.02</v>
      </c>
      <c r="C15" s="14">
        <v>51</v>
      </c>
    </row>
    <row r="16" spans="1:4" x14ac:dyDescent="0.25">
      <c r="A16" s="6" t="s">
        <v>121</v>
      </c>
      <c r="B16" s="14">
        <f t="shared" si="0"/>
        <v>59.160000000000004</v>
      </c>
      <c r="C16" s="14">
        <v>58</v>
      </c>
    </row>
    <row r="17" spans="1:3" x14ac:dyDescent="0.25">
      <c r="A17" s="6" t="s">
        <v>122</v>
      </c>
      <c r="B17" s="14">
        <f t="shared" si="0"/>
        <v>84.66</v>
      </c>
      <c r="C17" s="14">
        <v>83</v>
      </c>
    </row>
    <row r="18" spans="1:3" x14ac:dyDescent="0.25">
      <c r="A18" s="6" t="s">
        <v>123</v>
      </c>
      <c r="B18" s="14">
        <f t="shared" si="0"/>
        <v>273.36</v>
      </c>
      <c r="C18" s="14">
        <v>268</v>
      </c>
    </row>
    <row r="19" spans="1:3" x14ac:dyDescent="0.25">
      <c r="A19" s="6" t="s">
        <v>124</v>
      </c>
      <c r="B19" s="14">
        <f t="shared" si="0"/>
        <v>235.62</v>
      </c>
      <c r="C19" s="14">
        <v>231</v>
      </c>
    </row>
    <row r="20" spans="1:3" x14ac:dyDescent="0.25">
      <c r="A20" s="6" t="s">
        <v>125</v>
      </c>
      <c r="B20" s="14">
        <f t="shared" si="0"/>
        <v>327.42</v>
      </c>
      <c r="C20" s="14">
        <v>321</v>
      </c>
    </row>
    <row r="21" spans="1:3" x14ac:dyDescent="0.25">
      <c r="A21" s="6" t="s">
        <v>77</v>
      </c>
      <c r="B21" s="14">
        <f t="shared" si="0"/>
        <v>65.28</v>
      </c>
      <c r="C21" s="14">
        <v>64</v>
      </c>
    </row>
    <row r="22" spans="1:3" x14ac:dyDescent="0.25">
      <c r="A22" s="6" t="s">
        <v>126</v>
      </c>
      <c r="B22" s="14">
        <f t="shared" si="0"/>
        <v>157.08000000000001</v>
      </c>
      <c r="C22" s="14">
        <v>154</v>
      </c>
    </row>
    <row r="23" spans="1:3" x14ac:dyDescent="0.25">
      <c r="A23" s="6" t="s">
        <v>127</v>
      </c>
      <c r="B23" s="14">
        <f t="shared" si="0"/>
        <v>94.86</v>
      </c>
      <c r="C23" s="14">
        <v>93</v>
      </c>
    </row>
    <row r="24" spans="1:3" x14ac:dyDescent="0.25">
      <c r="A24" s="6" t="s">
        <v>128</v>
      </c>
      <c r="B24" s="14">
        <f t="shared" si="0"/>
        <v>59.160000000000004</v>
      </c>
      <c r="C24" s="14">
        <v>58</v>
      </c>
    </row>
    <row r="25" spans="1:3" x14ac:dyDescent="0.25">
      <c r="A25" s="6" t="s">
        <v>129</v>
      </c>
      <c r="B25" s="14">
        <f t="shared" si="0"/>
        <v>46.92</v>
      </c>
      <c r="C25" s="14">
        <v>46</v>
      </c>
    </row>
    <row r="26" spans="1:3" x14ac:dyDescent="0.25">
      <c r="A26" s="6" t="s">
        <v>130</v>
      </c>
      <c r="B26" s="14">
        <f t="shared" si="0"/>
        <v>483.48</v>
      </c>
      <c r="C26" s="14">
        <v>474</v>
      </c>
    </row>
    <row r="27" spans="1:3" x14ac:dyDescent="0.25">
      <c r="A27" s="6" t="s">
        <v>131</v>
      </c>
      <c r="B27" s="14">
        <f t="shared" si="0"/>
        <v>59.160000000000004</v>
      </c>
      <c r="C27" s="14">
        <v>58</v>
      </c>
    </row>
    <row r="28" spans="1:3" x14ac:dyDescent="0.25">
      <c r="A28" s="6" t="s">
        <v>132</v>
      </c>
      <c r="B28" s="14">
        <f t="shared" si="0"/>
        <v>59.160000000000004</v>
      </c>
      <c r="C28" s="14">
        <v>58</v>
      </c>
    </row>
    <row r="29" spans="1:3" x14ac:dyDescent="0.25">
      <c r="A29" s="6" t="s">
        <v>133</v>
      </c>
      <c r="B29" s="14">
        <f t="shared" si="0"/>
        <v>55.08</v>
      </c>
      <c r="C29" s="14">
        <v>54</v>
      </c>
    </row>
    <row r="30" spans="1:3" x14ac:dyDescent="0.25">
      <c r="A30" s="6" t="s">
        <v>134</v>
      </c>
      <c r="B30" s="14">
        <f t="shared" si="0"/>
        <v>36.72</v>
      </c>
      <c r="C30" s="14">
        <v>36</v>
      </c>
    </row>
    <row r="31" spans="1:3" x14ac:dyDescent="0.25">
      <c r="A31" s="6" t="s">
        <v>135</v>
      </c>
      <c r="B31" s="14">
        <f t="shared" si="0"/>
        <v>52.02</v>
      </c>
      <c r="C31" s="14">
        <v>51</v>
      </c>
    </row>
    <row r="32" spans="1:3" x14ac:dyDescent="0.25">
      <c r="A32" s="6" t="s">
        <v>91</v>
      </c>
      <c r="B32" s="14">
        <f t="shared" si="0"/>
        <v>102</v>
      </c>
      <c r="C32" s="14">
        <v>100</v>
      </c>
    </row>
    <row r="33" spans="1:3" x14ac:dyDescent="0.25">
      <c r="A33" s="6" t="s">
        <v>136</v>
      </c>
      <c r="B33" s="14">
        <f t="shared" si="0"/>
        <v>38.76</v>
      </c>
      <c r="C33" s="14">
        <v>38</v>
      </c>
    </row>
    <row r="34" spans="1:3" x14ac:dyDescent="0.25">
      <c r="A34" s="6" t="s">
        <v>97</v>
      </c>
      <c r="B34" s="14">
        <f t="shared" si="0"/>
        <v>38.76</v>
      </c>
      <c r="C34" s="14">
        <v>38</v>
      </c>
    </row>
    <row r="35" spans="1:3" x14ac:dyDescent="0.25">
      <c r="A35" s="6" t="s">
        <v>137</v>
      </c>
      <c r="B35" s="14">
        <f t="shared" si="0"/>
        <v>61.2</v>
      </c>
      <c r="C35" s="14">
        <v>60</v>
      </c>
    </row>
    <row r="36" spans="1:3" x14ac:dyDescent="0.25">
      <c r="A36" s="6" t="s">
        <v>138</v>
      </c>
      <c r="B36" s="14">
        <f t="shared" ref="B36:B72" si="1">C36*$D$1</f>
        <v>300.89999999999998</v>
      </c>
      <c r="C36" s="14">
        <v>295</v>
      </c>
    </row>
    <row r="37" spans="1:3" x14ac:dyDescent="0.25">
      <c r="A37" s="6" t="s">
        <v>10</v>
      </c>
      <c r="B37" s="14">
        <f t="shared" si="1"/>
        <v>91.8</v>
      </c>
      <c r="C37" s="14">
        <v>90</v>
      </c>
    </row>
    <row r="38" spans="1:3" x14ac:dyDescent="0.25">
      <c r="A38" s="6" t="s">
        <v>139</v>
      </c>
      <c r="B38" s="14">
        <f t="shared" si="1"/>
        <v>107.10000000000001</v>
      </c>
      <c r="C38" s="14">
        <v>105</v>
      </c>
    </row>
    <row r="39" spans="1:3" x14ac:dyDescent="0.25">
      <c r="A39" s="6" t="s">
        <v>140</v>
      </c>
      <c r="B39" s="14">
        <f t="shared" si="1"/>
        <v>38.76</v>
      </c>
      <c r="C39" s="14">
        <v>38</v>
      </c>
    </row>
    <row r="40" spans="1:3" x14ac:dyDescent="0.25">
      <c r="A40" s="6" t="s">
        <v>141</v>
      </c>
      <c r="B40" s="14">
        <f t="shared" si="1"/>
        <v>72.42</v>
      </c>
      <c r="C40" s="14">
        <v>71</v>
      </c>
    </row>
    <row r="41" spans="1:3" x14ac:dyDescent="0.25">
      <c r="A41" s="6" t="s">
        <v>85</v>
      </c>
      <c r="B41" s="14">
        <f t="shared" si="1"/>
        <v>171.36</v>
      </c>
      <c r="C41" s="14">
        <v>168</v>
      </c>
    </row>
    <row r="42" spans="1:3" x14ac:dyDescent="0.25">
      <c r="A42" s="6" t="s">
        <v>142</v>
      </c>
      <c r="B42" s="14">
        <f t="shared" si="1"/>
        <v>40.799999999999997</v>
      </c>
      <c r="C42" s="14">
        <v>40</v>
      </c>
    </row>
    <row r="43" spans="1:3" x14ac:dyDescent="0.25">
      <c r="A43" s="6" t="s">
        <v>143</v>
      </c>
      <c r="B43" s="14">
        <f t="shared" si="1"/>
        <v>38.76</v>
      </c>
      <c r="C43" s="14">
        <v>38</v>
      </c>
    </row>
    <row r="44" spans="1:3" x14ac:dyDescent="0.25">
      <c r="A44" s="6" t="s">
        <v>144</v>
      </c>
      <c r="B44" s="14">
        <f t="shared" si="1"/>
        <v>91.8</v>
      </c>
      <c r="C44" s="14">
        <v>90</v>
      </c>
    </row>
    <row r="45" spans="1:3" x14ac:dyDescent="0.25">
      <c r="A45" s="6" t="s">
        <v>145</v>
      </c>
      <c r="B45" s="14">
        <f t="shared" si="1"/>
        <v>117.3</v>
      </c>
      <c r="C45" s="14">
        <v>115</v>
      </c>
    </row>
    <row r="46" spans="1:3" x14ac:dyDescent="0.25">
      <c r="A46" s="6" t="s">
        <v>78</v>
      </c>
      <c r="B46" s="14">
        <f t="shared" si="1"/>
        <v>248.88</v>
      </c>
      <c r="C46" s="14">
        <v>244</v>
      </c>
    </row>
    <row r="47" spans="1:3" x14ac:dyDescent="0.25">
      <c r="A47" s="6" t="s">
        <v>90</v>
      </c>
      <c r="B47" s="14">
        <f t="shared" si="1"/>
        <v>65.28</v>
      </c>
      <c r="C47" s="14">
        <v>64</v>
      </c>
    </row>
    <row r="48" spans="1:3" x14ac:dyDescent="0.25">
      <c r="A48" s="6" t="s">
        <v>146</v>
      </c>
      <c r="B48" s="14">
        <f t="shared" si="1"/>
        <v>30.6</v>
      </c>
      <c r="C48" s="14">
        <v>30</v>
      </c>
    </row>
    <row r="49" spans="1:3" x14ac:dyDescent="0.25">
      <c r="A49" s="6" t="s">
        <v>81</v>
      </c>
      <c r="B49" s="14">
        <f t="shared" si="1"/>
        <v>32.64</v>
      </c>
      <c r="C49" s="14">
        <v>32</v>
      </c>
    </row>
    <row r="50" spans="1:3" x14ac:dyDescent="0.25">
      <c r="A50" s="6" t="s">
        <v>147</v>
      </c>
      <c r="B50" s="14">
        <f t="shared" si="1"/>
        <v>198.9</v>
      </c>
      <c r="C50" s="14">
        <v>195</v>
      </c>
    </row>
    <row r="51" spans="1:3" x14ac:dyDescent="0.25">
      <c r="A51" s="6" t="s">
        <v>86</v>
      </c>
      <c r="B51" s="14">
        <f t="shared" si="1"/>
        <v>157.08000000000001</v>
      </c>
      <c r="C51" s="14">
        <v>154</v>
      </c>
    </row>
    <row r="52" spans="1:3" x14ac:dyDescent="0.25">
      <c r="A52" s="6" t="s">
        <v>148</v>
      </c>
      <c r="B52" s="14">
        <f t="shared" si="1"/>
        <v>96.9</v>
      </c>
      <c r="C52" s="14">
        <v>95</v>
      </c>
    </row>
    <row r="53" spans="1:3" x14ac:dyDescent="0.25">
      <c r="A53" s="6" t="s">
        <v>98</v>
      </c>
      <c r="B53" s="14">
        <f t="shared" si="1"/>
        <v>198.9</v>
      </c>
      <c r="C53" s="14">
        <v>195</v>
      </c>
    </row>
    <row r="54" spans="1:3" x14ac:dyDescent="0.25">
      <c r="A54" s="6" t="s">
        <v>149</v>
      </c>
      <c r="B54" s="14">
        <f t="shared" si="1"/>
        <v>59.160000000000004</v>
      </c>
      <c r="C54" s="14">
        <v>58</v>
      </c>
    </row>
    <row r="55" spans="1:3" x14ac:dyDescent="0.25">
      <c r="A55" s="6" t="s">
        <v>11</v>
      </c>
      <c r="B55" s="14">
        <f t="shared" si="1"/>
        <v>52.02</v>
      </c>
      <c r="C55" s="14">
        <v>51</v>
      </c>
    </row>
    <row r="56" spans="1:3" x14ac:dyDescent="0.25">
      <c r="A56" s="6" t="s">
        <v>150</v>
      </c>
      <c r="B56" s="14">
        <f t="shared" si="1"/>
        <v>26.52</v>
      </c>
      <c r="C56" s="14">
        <v>26</v>
      </c>
    </row>
    <row r="57" spans="1:3" x14ac:dyDescent="0.25">
      <c r="A57" s="6" t="s">
        <v>151</v>
      </c>
      <c r="B57" s="14">
        <f t="shared" si="1"/>
        <v>379.44</v>
      </c>
      <c r="C57" s="14">
        <v>372</v>
      </c>
    </row>
    <row r="58" spans="1:3" x14ac:dyDescent="0.25">
      <c r="A58" s="6" t="s">
        <v>152</v>
      </c>
      <c r="B58" s="14">
        <f t="shared" si="1"/>
        <v>52.02</v>
      </c>
      <c r="C58" s="14">
        <v>51</v>
      </c>
    </row>
    <row r="59" spans="1:3" x14ac:dyDescent="0.25">
      <c r="A59" s="6" t="s">
        <v>153</v>
      </c>
      <c r="B59" s="14">
        <f t="shared" si="1"/>
        <v>19.38</v>
      </c>
      <c r="C59" s="14">
        <v>19</v>
      </c>
    </row>
    <row r="60" spans="1:3" x14ac:dyDescent="0.25">
      <c r="A60" s="6" t="s">
        <v>154</v>
      </c>
      <c r="B60" s="14">
        <f t="shared" si="1"/>
        <v>81.599999999999994</v>
      </c>
      <c r="C60" s="14">
        <v>80</v>
      </c>
    </row>
    <row r="61" spans="1:3" x14ac:dyDescent="0.25">
      <c r="A61" s="6" t="s">
        <v>75</v>
      </c>
      <c r="B61" s="14">
        <f t="shared" si="1"/>
        <v>32.64</v>
      </c>
      <c r="C61" s="14">
        <v>32</v>
      </c>
    </row>
    <row r="62" spans="1:3" x14ac:dyDescent="0.25">
      <c r="A62" s="6" t="s">
        <v>32</v>
      </c>
      <c r="B62" s="14">
        <f t="shared" si="1"/>
        <v>20.399999999999999</v>
      </c>
      <c r="C62" s="14">
        <v>20</v>
      </c>
    </row>
    <row r="63" spans="1:3" x14ac:dyDescent="0.25">
      <c r="A63" s="6" t="s">
        <v>155</v>
      </c>
      <c r="B63" s="14">
        <f t="shared" si="1"/>
        <v>130.56</v>
      </c>
      <c r="C63" s="14">
        <v>128</v>
      </c>
    </row>
    <row r="64" spans="1:3" x14ac:dyDescent="0.25">
      <c r="A64" s="6" t="s">
        <v>26</v>
      </c>
      <c r="B64" s="14">
        <f t="shared" si="1"/>
        <v>10.199999999999999</v>
      </c>
      <c r="C64" s="14">
        <v>10</v>
      </c>
    </row>
    <row r="65" spans="1:3" x14ac:dyDescent="0.25">
      <c r="A65" s="6" t="s">
        <v>156</v>
      </c>
      <c r="B65" s="14">
        <f t="shared" si="1"/>
        <v>117.3</v>
      </c>
      <c r="C65" s="14">
        <v>115</v>
      </c>
    </row>
    <row r="66" spans="1:3" x14ac:dyDescent="0.25">
      <c r="A66" s="6" t="s">
        <v>157</v>
      </c>
      <c r="B66" s="14">
        <f t="shared" si="1"/>
        <v>52.02</v>
      </c>
      <c r="C66" s="14">
        <v>51</v>
      </c>
    </row>
    <row r="67" spans="1:3" x14ac:dyDescent="0.25">
      <c r="A67" s="6" t="s">
        <v>158</v>
      </c>
      <c r="B67" s="14">
        <f t="shared" si="1"/>
        <v>170.34</v>
      </c>
      <c r="C67" s="14">
        <v>167</v>
      </c>
    </row>
    <row r="68" spans="1:3" x14ac:dyDescent="0.25">
      <c r="A68" s="6" t="s">
        <v>159</v>
      </c>
      <c r="B68" s="14">
        <f t="shared" si="1"/>
        <v>40.799999999999997</v>
      </c>
      <c r="C68" s="14">
        <v>40</v>
      </c>
    </row>
    <row r="69" spans="1:3" x14ac:dyDescent="0.25">
      <c r="A69" s="6" t="s">
        <v>22</v>
      </c>
      <c r="B69" s="14">
        <f t="shared" si="1"/>
        <v>25.5</v>
      </c>
      <c r="C69" s="2">
        <v>25</v>
      </c>
    </row>
    <row r="70" spans="1:3" x14ac:dyDescent="0.25">
      <c r="A70" s="6" t="s">
        <v>160</v>
      </c>
      <c r="B70" s="14">
        <f t="shared" si="1"/>
        <v>344.76</v>
      </c>
      <c r="C70" s="2">
        <f>169*2</f>
        <v>338</v>
      </c>
    </row>
    <row r="71" spans="1:3" x14ac:dyDescent="0.25">
      <c r="A71" s="6" t="s">
        <v>161</v>
      </c>
      <c r="B71" s="14">
        <f t="shared" si="1"/>
        <v>61.2</v>
      </c>
      <c r="C71" s="2">
        <v>60</v>
      </c>
    </row>
    <row r="72" spans="1:3" x14ac:dyDescent="0.25">
      <c r="A72" s="6" t="s">
        <v>19</v>
      </c>
      <c r="B72" s="14">
        <f t="shared" si="1"/>
        <v>95.88</v>
      </c>
      <c r="C72" s="2">
        <f>47*2</f>
        <v>94</v>
      </c>
    </row>
    <row r="73" spans="1:3" x14ac:dyDescent="0.25">
      <c r="A73" s="6" t="s">
        <v>162</v>
      </c>
      <c r="B73" s="14">
        <f>C73*$D$1</f>
        <v>426.36</v>
      </c>
      <c r="C73" s="2">
        <f>209*2</f>
        <v>418</v>
      </c>
    </row>
    <row r="74" spans="1:3" x14ac:dyDescent="0.25">
      <c r="A74" s="6" t="s">
        <v>163</v>
      </c>
      <c r="B74" s="14">
        <f>C74*$D$1</f>
        <v>221.34</v>
      </c>
      <c r="C74" s="2">
        <v>217</v>
      </c>
    </row>
    <row r="75" spans="1:3" x14ac:dyDescent="0.25">
      <c r="A75" s="6" t="s">
        <v>93</v>
      </c>
      <c r="B75" s="14">
        <f t="shared" ref="B75:B124" si="2">C75*$D$1</f>
        <v>81.599999999999994</v>
      </c>
      <c r="C75" s="2">
        <v>80</v>
      </c>
    </row>
    <row r="76" spans="1:3" x14ac:dyDescent="0.25">
      <c r="A76" s="6" t="s">
        <v>164</v>
      </c>
      <c r="B76" s="14">
        <f t="shared" si="2"/>
        <v>46.92</v>
      </c>
      <c r="C76" s="2">
        <v>46</v>
      </c>
    </row>
    <row r="77" spans="1:3" x14ac:dyDescent="0.25">
      <c r="A77" s="6" t="s">
        <v>165</v>
      </c>
      <c r="B77" s="14">
        <f t="shared" si="2"/>
        <v>45.9</v>
      </c>
      <c r="C77" s="2">
        <v>45</v>
      </c>
    </row>
    <row r="78" spans="1:3" x14ac:dyDescent="0.25">
      <c r="A78" s="6" t="s">
        <v>142</v>
      </c>
      <c r="B78" s="14">
        <f t="shared" si="2"/>
        <v>42.84</v>
      </c>
      <c r="C78" s="2">
        <v>42</v>
      </c>
    </row>
    <row r="79" spans="1:3" x14ac:dyDescent="0.25">
      <c r="A79" s="6" t="s">
        <v>166</v>
      </c>
      <c r="B79" s="14">
        <f t="shared" si="2"/>
        <v>61.2</v>
      </c>
      <c r="C79" s="2">
        <v>60</v>
      </c>
    </row>
    <row r="80" spans="1:3" x14ac:dyDescent="0.25">
      <c r="A80" s="6" t="s">
        <v>167</v>
      </c>
      <c r="B80" s="14">
        <f t="shared" si="2"/>
        <v>40.799999999999997</v>
      </c>
      <c r="C80" s="2">
        <v>40</v>
      </c>
    </row>
    <row r="81" spans="1:3" x14ac:dyDescent="0.25">
      <c r="A81" s="6" t="s">
        <v>168</v>
      </c>
      <c r="B81" s="14">
        <f t="shared" si="2"/>
        <v>132.6</v>
      </c>
      <c r="C81" s="2">
        <v>130</v>
      </c>
    </row>
    <row r="82" spans="1:3" x14ac:dyDescent="0.25">
      <c r="A82" s="6" t="s">
        <v>169</v>
      </c>
      <c r="B82" s="14">
        <f t="shared" si="2"/>
        <v>114.24000000000001</v>
      </c>
      <c r="C82" s="2">
        <v>112</v>
      </c>
    </row>
    <row r="83" spans="1:3" x14ac:dyDescent="0.25">
      <c r="A83" s="6" t="s">
        <v>170</v>
      </c>
      <c r="B83" s="14">
        <f t="shared" si="2"/>
        <v>73.44</v>
      </c>
      <c r="C83" s="2">
        <v>72</v>
      </c>
    </row>
    <row r="84" spans="1:3" x14ac:dyDescent="0.25">
      <c r="A84" s="6" t="s">
        <v>171</v>
      </c>
      <c r="B84" s="14">
        <f t="shared" si="2"/>
        <v>74.460000000000008</v>
      </c>
      <c r="C84" s="2">
        <v>73</v>
      </c>
    </row>
    <row r="85" spans="1:3" x14ac:dyDescent="0.25">
      <c r="A85" s="6" t="s">
        <v>172</v>
      </c>
      <c r="B85" s="14">
        <f t="shared" si="2"/>
        <v>168.3</v>
      </c>
      <c r="C85" s="2">
        <v>165</v>
      </c>
    </row>
    <row r="86" spans="1:3" x14ac:dyDescent="0.25">
      <c r="A86" s="6" t="s">
        <v>27</v>
      </c>
      <c r="B86" s="14">
        <f t="shared" si="2"/>
        <v>79.56</v>
      </c>
      <c r="C86" s="2">
        <v>78</v>
      </c>
    </row>
    <row r="87" spans="1:3" x14ac:dyDescent="0.25">
      <c r="A87" s="6" t="s">
        <v>92</v>
      </c>
      <c r="B87" s="14">
        <f t="shared" si="2"/>
        <v>102</v>
      </c>
      <c r="C87" s="2">
        <v>100</v>
      </c>
    </row>
    <row r="88" spans="1:3" x14ac:dyDescent="0.25">
      <c r="A88" s="6" t="s">
        <v>173</v>
      </c>
      <c r="B88" s="14">
        <f t="shared" si="2"/>
        <v>40.799999999999997</v>
      </c>
      <c r="C88" s="2">
        <v>40</v>
      </c>
    </row>
    <row r="89" spans="1:3" x14ac:dyDescent="0.25">
      <c r="A89" s="6" t="s">
        <v>174</v>
      </c>
      <c r="B89" s="14">
        <f t="shared" si="2"/>
        <v>40.799999999999997</v>
      </c>
      <c r="C89" s="2">
        <v>40</v>
      </c>
    </row>
    <row r="90" spans="1:3" x14ac:dyDescent="0.25">
      <c r="A90" s="6" t="s">
        <v>175</v>
      </c>
      <c r="B90" s="14">
        <f t="shared" si="2"/>
        <v>40.799999999999997</v>
      </c>
      <c r="C90" s="2">
        <v>40</v>
      </c>
    </row>
    <row r="91" spans="1:3" x14ac:dyDescent="0.25">
      <c r="A91" s="6" t="s">
        <v>176</v>
      </c>
      <c r="B91" s="14">
        <f t="shared" si="2"/>
        <v>25.5</v>
      </c>
      <c r="C91" s="2">
        <v>25</v>
      </c>
    </row>
    <row r="92" spans="1:3" x14ac:dyDescent="0.25">
      <c r="A92" s="6" t="s">
        <v>177</v>
      </c>
      <c r="B92" s="14">
        <f t="shared" si="2"/>
        <v>44.88</v>
      </c>
      <c r="C92" s="2">
        <v>44</v>
      </c>
    </row>
    <row r="93" spans="1:3" x14ac:dyDescent="0.25">
      <c r="A93" s="6" t="s">
        <v>178</v>
      </c>
      <c r="B93" s="14">
        <f t="shared" si="2"/>
        <v>32.64</v>
      </c>
      <c r="C93" s="2">
        <v>32</v>
      </c>
    </row>
    <row r="94" spans="1:3" x14ac:dyDescent="0.25">
      <c r="A94" s="6" t="s">
        <v>179</v>
      </c>
      <c r="B94" s="14">
        <f t="shared" si="2"/>
        <v>76.5</v>
      </c>
      <c r="C94" s="2">
        <v>75</v>
      </c>
    </row>
    <row r="95" spans="1:3" x14ac:dyDescent="0.25">
      <c r="A95" s="6" t="s">
        <v>180</v>
      </c>
      <c r="B95" s="14">
        <f t="shared" si="2"/>
        <v>10.199999999999999</v>
      </c>
      <c r="C95" s="2">
        <v>10</v>
      </c>
    </row>
    <row r="96" spans="1:3" x14ac:dyDescent="0.25">
      <c r="A96" s="6" t="s">
        <v>181</v>
      </c>
      <c r="B96" s="14">
        <f t="shared" si="2"/>
        <v>25.5</v>
      </c>
      <c r="C96" s="2">
        <v>25</v>
      </c>
    </row>
    <row r="97" spans="1:3" x14ac:dyDescent="0.25">
      <c r="A97" s="6" t="s">
        <v>28</v>
      </c>
      <c r="B97" s="14">
        <f t="shared" si="2"/>
        <v>15.3</v>
      </c>
      <c r="C97" s="2">
        <v>15</v>
      </c>
    </row>
    <row r="98" spans="1:3" x14ac:dyDescent="0.25">
      <c r="A98" s="6" t="s">
        <v>182</v>
      </c>
      <c r="B98" s="14">
        <f t="shared" si="2"/>
        <v>86.7</v>
      </c>
      <c r="C98" s="2">
        <v>85</v>
      </c>
    </row>
    <row r="99" spans="1:3" x14ac:dyDescent="0.25">
      <c r="A99" s="6" t="s">
        <v>183</v>
      </c>
      <c r="B99" s="14">
        <f t="shared" si="2"/>
        <v>66.3</v>
      </c>
      <c r="C99" s="2">
        <v>65</v>
      </c>
    </row>
    <row r="100" spans="1:3" x14ac:dyDescent="0.25">
      <c r="A100" s="6" t="s">
        <v>184</v>
      </c>
      <c r="B100" s="14">
        <f t="shared" si="2"/>
        <v>66.3</v>
      </c>
      <c r="C100" s="2">
        <v>65</v>
      </c>
    </row>
    <row r="101" spans="1:3" x14ac:dyDescent="0.25">
      <c r="A101" s="6" t="s">
        <v>185</v>
      </c>
      <c r="B101" s="14">
        <f t="shared" si="2"/>
        <v>57.120000000000005</v>
      </c>
      <c r="C101" s="2">
        <v>56</v>
      </c>
    </row>
    <row r="102" spans="1:3" x14ac:dyDescent="0.25">
      <c r="A102" s="6" t="s">
        <v>186</v>
      </c>
      <c r="B102" s="14">
        <f t="shared" si="2"/>
        <v>214.20000000000002</v>
      </c>
      <c r="C102" s="2">
        <v>210</v>
      </c>
    </row>
    <row r="103" spans="1:3" x14ac:dyDescent="0.25">
      <c r="A103" s="6" t="s">
        <v>187</v>
      </c>
      <c r="B103" s="14">
        <f t="shared" si="2"/>
        <v>137.69999999999999</v>
      </c>
      <c r="C103" s="2">
        <v>135</v>
      </c>
    </row>
    <row r="104" spans="1:3" x14ac:dyDescent="0.25">
      <c r="A104" s="6" t="s">
        <v>188</v>
      </c>
      <c r="B104" s="14">
        <f t="shared" si="2"/>
        <v>40.799999999999997</v>
      </c>
      <c r="C104" s="2">
        <v>40</v>
      </c>
    </row>
    <row r="105" spans="1:3" x14ac:dyDescent="0.25">
      <c r="A105" s="6" t="s">
        <v>189</v>
      </c>
      <c r="B105" s="14">
        <f t="shared" si="2"/>
        <v>20.399999999999999</v>
      </c>
      <c r="C105" s="2">
        <v>20</v>
      </c>
    </row>
    <row r="106" spans="1:3" x14ac:dyDescent="0.25">
      <c r="A106" s="6" t="s">
        <v>190</v>
      </c>
      <c r="B106" s="14">
        <f t="shared" si="2"/>
        <v>40.799999999999997</v>
      </c>
      <c r="C106" s="2">
        <v>40</v>
      </c>
    </row>
    <row r="107" spans="1:3" x14ac:dyDescent="0.25">
      <c r="A107" s="6" t="s">
        <v>191</v>
      </c>
      <c r="B107" s="14">
        <f t="shared" si="2"/>
        <v>128.52000000000001</v>
      </c>
      <c r="C107" s="2">
        <v>126</v>
      </c>
    </row>
    <row r="108" spans="1:3" x14ac:dyDescent="0.25">
      <c r="A108" s="6" t="s">
        <v>192</v>
      </c>
      <c r="B108" s="14">
        <f t="shared" si="2"/>
        <v>25.5</v>
      </c>
      <c r="C108" s="2">
        <v>25</v>
      </c>
    </row>
    <row r="109" spans="1:3" x14ac:dyDescent="0.25">
      <c r="A109" s="6" t="s">
        <v>193</v>
      </c>
      <c r="B109" s="14">
        <f t="shared" si="2"/>
        <v>81.599999999999994</v>
      </c>
      <c r="C109" s="2">
        <v>80</v>
      </c>
    </row>
    <row r="110" spans="1:3" x14ac:dyDescent="0.25">
      <c r="A110" s="6" t="s">
        <v>194</v>
      </c>
      <c r="B110" s="14">
        <f t="shared" si="2"/>
        <v>36.72</v>
      </c>
      <c r="C110" s="2">
        <v>36</v>
      </c>
    </row>
    <row r="111" spans="1:3" x14ac:dyDescent="0.25">
      <c r="A111" s="6" t="s">
        <v>195</v>
      </c>
      <c r="B111" s="14">
        <f t="shared" si="2"/>
        <v>22.44</v>
      </c>
      <c r="C111" s="2">
        <v>22</v>
      </c>
    </row>
    <row r="112" spans="1:3" x14ac:dyDescent="0.25">
      <c r="A112" s="6" t="s">
        <v>196</v>
      </c>
      <c r="B112" s="14">
        <f t="shared" si="2"/>
        <v>571.20000000000005</v>
      </c>
      <c r="C112" s="2">
        <v>560</v>
      </c>
    </row>
    <row r="113" spans="1:3" x14ac:dyDescent="0.25">
      <c r="A113" s="6" t="s">
        <v>197</v>
      </c>
      <c r="B113" s="14">
        <f t="shared" si="2"/>
        <v>183.6</v>
      </c>
      <c r="C113" s="2">
        <v>180</v>
      </c>
    </row>
    <row r="114" spans="1:3" x14ac:dyDescent="0.25">
      <c r="A114" s="6" t="s">
        <v>198</v>
      </c>
      <c r="B114" s="14">
        <f t="shared" si="2"/>
        <v>35.700000000000003</v>
      </c>
      <c r="C114" s="2">
        <v>35</v>
      </c>
    </row>
    <row r="115" spans="1:3" x14ac:dyDescent="0.25">
      <c r="A115" s="6" t="s">
        <v>199</v>
      </c>
      <c r="B115" s="14">
        <f t="shared" si="2"/>
        <v>35.700000000000003</v>
      </c>
      <c r="C115" s="2">
        <v>35</v>
      </c>
    </row>
    <row r="116" spans="1:3" x14ac:dyDescent="0.25">
      <c r="A116" s="6" t="s">
        <v>200</v>
      </c>
      <c r="B116" s="14">
        <f t="shared" si="2"/>
        <v>124.44</v>
      </c>
      <c r="C116" s="2">
        <v>122</v>
      </c>
    </row>
    <row r="117" spans="1:3" x14ac:dyDescent="0.25">
      <c r="A117" s="6" t="s">
        <v>201</v>
      </c>
      <c r="B117" s="14">
        <f t="shared" si="2"/>
        <v>20.399999999999999</v>
      </c>
      <c r="C117" s="2">
        <v>20</v>
      </c>
    </row>
    <row r="118" spans="1:3" x14ac:dyDescent="0.25">
      <c r="A118" s="6" t="s">
        <v>202</v>
      </c>
      <c r="B118" s="14">
        <f t="shared" si="2"/>
        <v>58.14</v>
      </c>
      <c r="C118" s="2">
        <v>57</v>
      </c>
    </row>
    <row r="119" spans="1:3" x14ac:dyDescent="0.25">
      <c r="A119" s="6" t="s">
        <v>203</v>
      </c>
      <c r="B119" s="14">
        <f t="shared" si="2"/>
        <v>36.72</v>
      </c>
      <c r="C119" s="2">
        <v>36</v>
      </c>
    </row>
    <row r="120" spans="1:3" x14ac:dyDescent="0.25">
      <c r="A120" s="6" t="s">
        <v>204</v>
      </c>
      <c r="B120" s="14">
        <f t="shared" si="2"/>
        <v>35.700000000000003</v>
      </c>
      <c r="C120" s="2">
        <v>35</v>
      </c>
    </row>
    <row r="121" spans="1:3" x14ac:dyDescent="0.25">
      <c r="A121" s="6" t="s">
        <v>205</v>
      </c>
      <c r="B121" s="14">
        <f t="shared" si="2"/>
        <v>49.980000000000004</v>
      </c>
      <c r="C121" s="2">
        <v>49</v>
      </c>
    </row>
    <row r="122" spans="1:3" x14ac:dyDescent="0.25">
      <c r="A122" s="6" t="s">
        <v>94</v>
      </c>
      <c r="B122" s="14">
        <f t="shared" si="2"/>
        <v>372.3</v>
      </c>
      <c r="C122" s="2">
        <v>365</v>
      </c>
    </row>
    <row r="123" spans="1:3" x14ac:dyDescent="0.25">
      <c r="A123" s="6" t="s">
        <v>33</v>
      </c>
      <c r="B123" s="14">
        <f t="shared" si="2"/>
        <v>204</v>
      </c>
      <c r="C123" s="2">
        <v>200</v>
      </c>
    </row>
    <row r="124" spans="1:3" x14ac:dyDescent="0.25">
      <c r="A124" s="6" t="s">
        <v>206</v>
      </c>
      <c r="B124" s="14">
        <f t="shared" si="2"/>
        <v>449.82</v>
      </c>
      <c r="C124" s="2">
        <v>441</v>
      </c>
    </row>
    <row r="125" spans="1:3" x14ac:dyDescent="0.25">
      <c r="A125" s="6" t="s">
        <v>207</v>
      </c>
      <c r="B125" s="14">
        <f>C125*$D$1+83</f>
        <v>809.24</v>
      </c>
      <c r="C125" s="2">
        <v>712</v>
      </c>
    </row>
    <row r="126" spans="1:3" x14ac:dyDescent="0.25">
      <c r="A126" s="6" t="s">
        <v>208</v>
      </c>
      <c r="B126" s="14">
        <f>C126*D1</f>
        <v>816</v>
      </c>
      <c r="C126" s="2">
        <v>800</v>
      </c>
    </row>
    <row r="127" spans="1:3" x14ac:dyDescent="0.25">
      <c r="A127" s="6" t="s">
        <v>209</v>
      </c>
      <c r="B127" s="14">
        <f>C127*D1</f>
        <v>124.44</v>
      </c>
      <c r="C127" s="2">
        <f>90+32</f>
        <v>122</v>
      </c>
    </row>
    <row r="128" spans="1:3" x14ac:dyDescent="0.25">
      <c r="A128" s="6" t="s">
        <v>210</v>
      </c>
      <c r="B128" s="14">
        <f>C128*D1</f>
        <v>82.62</v>
      </c>
      <c r="C128" s="2">
        <v>81</v>
      </c>
    </row>
    <row r="129" spans="1:3" x14ac:dyDescent="0.25">
      <c r="A129" s="6" t="s">
        <v>211</v>
      </c>
      <c r="B129" s="14">
        <f>C129*D1</f>
        <v>204</v>
      </c>
      <c r="C129" s="2">
        <v>200</v>
      </c>
    </row>
    <row r="130" spans="1:3" x14ac:dyDescent="0.25">
      <c r="A130" s="6" t="s">
        <v>212</v>
      </c>
      <c r="B130" s="14">
        <f>C130*D1</f>
        <v>142.80000000000001</v>
      </c>
      <c r="C130" s="2">
        <v>140</v>
      </c>
    </row>
    <row r="131" spans="1:3" x14ac:dyDescent="0.25">
      <c r="A131" s="6" t="s">
        <v>213</v>
      </c>
      <c r="B131" s="14">
        <f>C131*D1</f>
        <v>86.7</v>
      </c>
      <c r="C131" s="2">
        <v>85</v>
      </c>
    </row>
    <row r="132" spans="1:3" x14ac:dyDescent="0.25">
      <c r="A132" s="6" t="s">
        <v>17</v>
      </c>
      <c r="B132" s="14">
        <f>C132*$D$1</f>
        <v>63.24</v>
      </c>
      <c r="C132" s="2">
        <v>62</v>
      </c>
    </row>
    <row r="133" spans="1:3" x14ac:dyDescent="0.25">
      <c r="A133" s="6" t="s">
        <v>25</v>
      </c>
      <c r="B133" s="14">
        <f>C133*$D$1</f>
        <v>90.78</v>
      </c>
      <c r="C133" s="2">
        <v>89</v>
      </c>
    </row>
    <row r="134" spans="1:3" x14ac:dyDescent="0.25">
      <c r="A134" s="6" t="s">
        <v>214</v>
      </c>
      <c r="B134" s="14">
        <f>C134*$D$1</f>
        <v>103.02</v>
      </c>
      <c r="C134" s="2">
        <v>101</v>
      </c>
    </row>
    <row r="135" spans="1:3" x14ac:dyDescent="0.25">
      <c r="A135" s="6" t="s">
        <v>215</v>
      </c>
      <c r="B135" s="14">
        <v>5.4</v>
      </c>
    </row>
    <row r="136" spans="1:3" x14ac:dyDescent="0.25">
      <c r="A136" s="6" t="s">
        <v>216</v>
      </c>
      <c r="B136" s="14">
        <f>C136*$D$1+83</f>
        <v>304.34000000000003</v>
      </c>
      <c r="C136" s="2">
        <v>217</v>
      </c>
    </row>
    <row r="137" spans="1:3" x14ac:dyDescent="0.25">
      <c r="A137" s="6" t="s">
        <v>217</v>
      </c>
      <c r="B137" s="14">
        <v>71.400000000000006</v>
      </c>
    </row>
    <row r="139" spans="1:3" x14ac:dyDescent="0.25">
      <c r="A139" s="6" t="s">
        <v>20</v>
      </c>
      <c r="B139" s="14">
        <f>C139*D1</f>
        <v>358.02</v>
      </c>
      <c r="C139" s="2">
        <v>351</v>
      </c>
    </row>
    <row r="140" spans="1:3" x14ac:dyDescent="0.25">
      <c r="A140" s="6" t="s">
        <v>21</v>
      </c>
      <c r="B140" s="14">
        <v>93.1</v>
      </c>
    </row>
    <row r="142" spans="1:3" x14ac:dyDescent="0.25">
      <c r="A142" s="6" t="s">
        <v>29</v>
      </c>
      <c r="B142" s="14">
        <f>C142*D1</f>
        <v>504.90000000000003</v>
      </c>
      <c r="C142" s="2">
        <v>495</v>
      </c>
    </row>
    <row r="143" spans="1:3" x14ac:dyDescent="0.25">
      <c r="A143" s="6" t="s">
        <v>30</v>
      </c>
      <c r="B143" s="14">
        <v>130</v>
      </c>
    </row>
    <row r="145" spans="1:3" x14ac:dyDescent="0.25">
      <c r="A145" s="6" t="s">
        <v>34</v>
      </c>
      <c r="B145" s="14">
        <f>C145*D1</f>
        <v>856.80000000000007</v>
      </c>
      <c r="C145" s="2">
        <v>840</v>
      </c>
    </row>
    <row r="146" spans="1:3" x14ac:dyDescent="0.25">
      <c r="A146" s="6" t="s">
        <v>35</v>
      </c>
      <c r="B146" s="14">
        <v>130</v>
      </c>
    </row>
    <row r="148" spans="1:3" x14ac:dyDescent="0.25">
      <c r="A148" s="6" t="s">
        <v>36</v>
      </c>
      <c r="B148" s="14">
        <f>C148*D1</f>
        <v>244.8</v>
      </c>
      <c r="C148" s="2">
        <v>240</v>
      </c>
    </row>
    <row r="149" spans="1:3" x14ac:dyDescent="0.25">
      <c r="A149" s="6" t="s">
        <v>37</v>
      </c>
      <c r="B149" s="14">
        <v>47</v>
      </c>
    </row>
    <row r="151" spans="1:3" x14ac:dyDescent="0.25">
      <c r="A151" s="6" t="s">
        <v>39</v>
      </c>
      <c r="B151" s="14">
        <f>C151*D1</f>
        <v>511.02</v>
      </c>
      <c r="C151" s="2">
        <v>501</v>
      </c>
    </row>
    <row r="152" spans="1:3" x14ac:dyDescent="0.25">
      <c r="A152" s="6" t="s">
        <v>40</v>
      </c>
      <c r="B152" s="14">
        <v>41.4</v>
      </c>
    </row>
  </sheetData>
  <autoFilter ref="A1:B119" xr:uid="{00000000-0009-0000-0000-000003000000}">
    <sortState xmlns:xlrd2="http://schemas.microsoft.com/office/spreadsheetml/2017/richdata2" ref="A2:B39">
      <sortCondition ref="A1:A39"/>
    </sortState>
  </autoFilter>
  <sortState xmlns:xlrd2="http://schemas.microsoft.com/office/spreadsheetml/2017/richdata2" ref="A4:B67">
    <sortCondition ref="A4:A67"/>
  </sortState>
  <pageMargins left="0.511811024" right="0.511811024" top="0.78740157499999996" bottom="0.78740157499999996" header="0.31496062000000002" footer="0.31496062000000002"/>
  <pageSetup paperSize="9" orientation="portrait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selection activeCell="A14" sqref="A14"/>
    </sheetView>
  </sheetViews>
  <sheetFormatPr defaultRowHeight="15" x14ac:dyDescent="0.25"/>
  <cols>
    <col min="1" max="1" width="17.5703125" style="9" bestFit="1" customWidth="1"/>
  </cols>
  <sheetData>
    <row r="1" spans="1:2" x14ac:dyDescent="0.25">
      <c r="A1" s="9" t="s">
        <v>218</v>
      </c>
    </row>
    <row r="2" spans="1:2" x14ac:dyDescent="0.25">
      <c r="A2" s="10" t="s">
        <v>4</v>
      </c>
    </row>
    <row r="3" spans="1:2" x14ac:dyDescent="0.25">
      <c r="A3" s="9" t="s">
        <v>219</v>
      </c>
    </row>
    <row r="4" spans="1:2" x14ac:dyDescent="0.25">
      <c r="A4" s="9" t="s">
        <v>220</v>
      </c>
    </row>
    <row r="5" spans="1:2" x14ac:dyDescent="0.25">
      <c r="A5" s="9" t="s">
        <v>221</v>
      </c>
    </row>
    <row r="6" spans="1:2" x14ac:dyDescent="0.25">
      <c r="A6" s="9" t="s">
        <v>222</v>
      </c>
    </row>
    <row r="7" spans="1:2" x14ac:dyDescent="0.25">
      <c r="A7" s="9" t="s">
        <v>223</v>
      </c>
    </row>
    <row r="8" spans="1:2" x14ac:dyDescent="0.25">
      <c r="A8" s="9" t="s">
        <v>224</v>
      </c>
    </row>
    <row r="9" spans="1:2" x14ac:dyDescent="0.25">
      <c r="A9" s="9" t="s">
        <v>225</v>
      </c>
    </row>
    <row r="10" spans="1:2" x14ac:dyDescent="0.25">
      <c r="A10" s="9" t="s">
        <v>226</v>
      </c>
    </row>
    <row r="11" spans="1:2" x14ac:dyDescent="0.25">
      <c r="A11" s="9" t="s">
        <v>227</v>
      </c>
    </row>
    <row r="12" spans="1:2" x14ac:dyDescent="0.25">
      <c r="A12" s="9" t="s">
        <v>228</v>
      </c>
    </row>
    <row r="13" spans="1:2" x14ac:dyDescent="0.25">
      <c r="A13" s="9" t="s">
        <v>229</v>
      </c>
    </row>
    <row r="15" spans="1:2" x14ac:dyDescent="0.25">
      <c r="A15" s="40" t="s">
        <v>230</v>
      </c>
      <c r="B15" t="s">
        <v>231</v>
      </c>
    </row>
    <row r="16" spans="1:2" x14ac:dyDescent="0.25">
      <c r="A16" t="s">
        <v>232</v>
      </c>
      <c r="B16" t="s">
        <v>231</v>
      </c>
    </row>
    <row r="17" spans="1:2" x14ac:dyDescent="0.25">
      <c r="A17" t="s">
        <v>233</v>
      </c>
      <c r="B17" t="s">
        <v>231</v>
      </c>
    </row>
  </sheetData>
  <pageMargins left="0.511811024" right="0.511811024" top="0.78740157499999996" bottom="0.78740157499999996" header="0.31496062000000002" footer="0.31496062000000002"/>
  <pageSetup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7973-53D9-48DB-80D3-73EA61DF202E}">
  <dimension ref="A1:K16"/>
  <sheetViews>
    <sheetView workbookViewId="0">
      <selection activeCell="K16" sqref="K16"/>
    </sheetView>
  </sheetViews>
  <sheetFormatPr defaultRowHeight="15" x14ac:dyDescent="0.25"/>
  <cols>
    <col min="1" max="1" width="10.42578125" bestFit="1" customWidth="1"/>
    <col min="2" max="2" width="11.42578125" bestFit="1" customWidth="1"/>
    <col min="3" max="3" width="10.85546875" bestFit="1" customWidth="1"/>
    <col min="4" max="4" width="9.28515625" bestFit="1" customWidth="1"/>
    <col min="5" max="5" width="9.5703125" customWidth="1"/>
    <col min="6" max="6" width="8.5703125" bestFit="1" customWidth="1"/>
    <col min="9" max="9" width="19.85546875" customWidth="1"/>
    <col min="10" max="10" width="14.5703125" customWidth="1"/>
    <col min="11" max="11" width="13.140625" bestFit="1" customWidth="1"/>
    <col min="14" max="14" width="10.28515625" customWidth="1"/>
  </cols>
  <sheetData>
    <row r="1" spans="1:11" x14ac:dyDescent="0.25">
      <c r="A1" s="64" t="s">
        <v>224</v>
      </c>
      <c r="B1" s="65"/>
      <c r="C1" s="65"/>
      <c r="D1" s="65"/>
      <c r="E1" s="65"/>
      <c r="F1" s="65"/>
      <c r="G1" s="65"/>
    </row>
    <row r="2" spans="1:11" x14ac:dyDescent="0.25">
      <c r="A2" s="44" t="s">
        <v>50</v>
      </c>
      <c r="B2" s="44" t="s">
        <v>49</v>
      </c>
      <c r="C2" s="44" t="s">
        <v>234</v>
      </c>
      <c r="D2" s="44" t="s">
        <v>235</v>
      </c>
      <c r="E2" s="44" t="s">
        <v>236</v>
      </c>
      <c r="F2" s="44" t="s">
        <v>237</v>
      </c>
      <c r="G2" s="44" t="s">
        <v>238</v>
      </c>
      <c r="I2" s="44" t="s">
        <v>239</v>
      </c>
      <c r="J2" s="44" t="s">
        <v>240</v>
      </c>
      <c r="K2" s="44" t="s">
        <v>241</v>
      </c>
    </row>
    <row r="3" spans="1:11" x14ac:dyDescent="0.25">
      <c r="A3" s="45"/>
      <c r="B3" s="46"/>
      <c r="C3" s="2"/>
      <c r="D3" s="2"/>
      <c r="E3" s="2"/>
      <c r="F3" s="2"/>
      <c r="G3" s="6"/>
      <c r="I3" s="6">
        <v>1.02</v>
      </c>
      <c r="J3" s="47">
        <v>7</v>
      </c>
      <c r="K3" s="47">
        <f>SUM(G3:G13)</f>
        <v>0</v>
      </c>
    </row>
    <row r="4" spans="1:11" x14ac:dyDescent="0.25">
      <c r="A4" s="45"/>
      <c r="B4" s="46"/>
      <c r="C4" s="2"/>
      <c r="D4" s="2"/>
      <c r="E4" s="2"/>
      <c r="F4" s="2"/>
      <c r="G4" s="6"/>
    </row>
    <row r="5" spans="1:11" x14ac:dyDescent="0.25">
      <c r="A5" s="45"/>
      <c r="B5" s="46"/>
      <c r="C5" s="2"/>
      <c r="D5" s="2"/>
      <c r="E5" s="2"/>
      <c r="F5" s="2"/>
      <c r="G5" s="6"/>
    </row>
    <row r="6" spans="1:11" x14ac:dyDescent="0.25">
      <c r="A6" s="45"/>
      <c r="B6" s="46"/>
      <c r="C6" s="2"/>
      <c r="D6" s="2"/>
      <c r="E6" s="2"/>
      <c r="F6" s="2"/>
      <c r="G6" s="6"/>
      <c r="I6" s="66" t="s">
        <v>242</v>
      </c>
      <c r="J6" s="67"/>
      <c r="K6" s="48">
        <f>J3*F15</f>
        <v>0</v>
      </c>
    </row>
    <row r="7" spans="1:11" x14ac:dyDescent="0.25">
      <c r="A7" s="45"/>
      <c r="B7" s="46"/>
      <c r="C7" s="2"/>
      <c r="D7" s="2"/>
      <c r="E7" s="2"/>
      <c r="F7" s="2"/>
      <c r="G7" s="6"/>
      <c r="I7" s="66" t="s">
        <v>243</v>
      </c>
      <c r="J7" s="67"/>
      <c r="K7" s="48">
        <f>I3*F14</f>
        <v>0</v>
      </c>
    </row>
    <row r="8" spans="1:11" x14ac:dyDescent="0.25">
      <c r="A8" s="45"/>
      <c r="B8" s="46"/>
      <c r="C8" s="2"/>
      <c r="D8" s="2"/>
      <c r="E8" s="2"/>
      <c r="F8" s="2"/>
      <c r="G8" s="47"/>
      <c r="I8" s="66" t="s">
        <v>244</v>
      </c>
      <c r="J8" s="67"/>
      <c r="K8" s="48">
        <f>K3</f>
        <v>0</v>
      </c>
    </row>
    <row r="9" spans="1:11" x14ac:dyDescent="0.25">
      <c r="A9" s="45"/>
      <c r="B9" s="46"/>
      <c r="C9" s="2"/>
      <c r="D9" s="2"/>
      <c r="E9" s="2"/>
      <c r="F9" s="2"/>
      <c r="G9" s="6"/>
    </row>
    <row r="10" spans="1:11" x14ac:dyDescent="0.25">
      <c r="A10" s="45"/>
      <c r="B10" s="46"/>
      <c r="C10" s="2"/>
      <c r="D10" s="2"/>
      <c r="E10" s="2"/>
      <c r="F10" s="2"/>
      <c r="G10" s="6"/>
      <c r="I10" s="66" t="s">
        <v>245</v>
      </c>
      <c r="J10" s="67"/>
      <c r="K10" s="49">
        <f>SUM(K6:K8)</f>
        <v>0</v>
      </c>
    </row>
    <row r="11" spans="1:11" x14ac:dyDescent="0.25">
      <c r="A11" s="45"/>
      <c r="B11" s="46"/>
      <c r="C11" s="2"/>
      <c r="D11" s="2"/>
      <c r="E11" s="2"/>
      <c r="F11" s="2"/>
      <c r="G11" s="6"/>
    </row>
    <row r="12" spans="1:11" x14ac:dyDescent="0.25">
      <c r="A12" s="45"/>
      <c r="B12" s="46"/>
      <c r="C12" s="2"/>
      <c r="D12" s="2"/>
      <c r="E12" s="2"/>
      <c r="F12" s="2"/>
      <c r="G12" s="6"/>
    </row>
    <row r="13" spans="1:11" x14ac:dyDescent="0.25">
      <c r="A13" s="45"/>
      <c r="B13" s="46"/>
      <c r="C13" s="2"/>
      <c r="D13" s="2"/>
      <c r="E13" s="2"/>
      <c r="F13" s="2"/>
      <c r="G13" s="6"/>
    </row>
    <row r="14" spans="1:11" x14ac:dyDescent="0.25">
      <c r="D14" s="68" t="s">
        <v>246</v>
      </c>
      <c r="E14" s="69"/>
      <c r="F14" s="50">
        <f>SUM(E3:E13)</f>
        <v>0</v>
      </c>
    </row>
    <row r="15" spans="1:11" x14ac:dyDescent="0.25">
      <c r="D15" s="63" t="s">
        <v>247</v>
      </c>
      <c r="E15" s="63"/>
      <c r="F15" s="50">
        <f>SUM(F3:F13)</f>
        <v>0</v>
      </c>
    </row>
    <row r="16" spans="1:11" x14ac:dyDescent="0.25">
      <c r="D16" s="63" t="s">
        <v>248</v>
      </c>
      <c r="E16" s="63"/>
      <c r="F16" s="51">
        <f>SUM(G4:G13)</f>
        <v>0</v>
      </c>
    </row>
  </sheetData>
  <mergeCells count="8">
    <mergeCell ref="D15:E15"/>
    <mergeCell ref="D16:E16"/>
    <mergeCell ref="A1:G1"/>
    <mergeCell ref="I6:J6"/>
    <mergeCell ref="I7:J7"/>
    <mergeCell ref="I8:J8"/>
    <mergeCell ref="I10:J10"/>
    <mergeCell ref="D14:E1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B81DE5CE7BEC42897FF8D945727ED7" ma:contentTypeVersion="4" ma:contentTypeDescription="Criar um novo documento." ma:contentTypeScope="" ma:versionID="cd55907fca419583477a4abb7063aafb">
  <xsd:schema xmlns:xsd="http://www.w3.org/2001/XMLSchema" xmlns:xs="http://www.w3.org/2001/XMLSchema" xmlns:p="http://schemas.microsoft.com/office/2006/metadata/properties" xmlns:ns2="abf2cb88-8ca1-4dee-a673-b8c4a971b5d2" targetNamespace="http://schemas.microsoft.com/office/2006/metadata/properties" ma:root="true" ma:fieldsID="ea67a32132183ebd7fa8eb9a8ad898c1" ns2:_="">
    <xsd:import namespace="abf2cb88-8ca1-4dee-a673-b8c4a971b5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2cb88-8ca1-4dee-a673-b8c4a971b5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F1F1BC-A34D-4826-A4AB-631C3CD5DF51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abf2cb88-8ca1-4dee-a673-b8c4a971b5d2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01E2DE7-E032-476F-9735-23F6C9B12C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f2cb88-8ca1-4dee-a673-b8c4a971b5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427D62-4847-44D8-B924-454377136D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CÁLCULO</vt:lpstr>
      <vt:lpstr>BASE MANIFESTO</vt:lpstr>
      <vt:lpstr>PONTOS</vt:lpstr>
      <vt:lpstr>CIDADES DA ROTA SETEMBRO 2024</vt:lpstr>
      <vt:lpstr>CIDADES DA ROTA</vt:lpstr>
      <vt:lpstr>ACRÉSCIMOS</vt:lpstr>
      <vt:lpstr>MOTORISTAS</vt:lpstr>
      <vt:lpstr>FECHAMENTO KM</vt:lpstr>
      <vt:lpstr>CÁLCULO!Area_de_impressao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Jose Carlos</cp:lastModifiedBy>
  <cp:revision/>
  <dcterms:created xsi:type="dcterms:W3CDTF">2020-06-19T18:51:14Z</dcterms:created>
  <dcterms:modified xsi:type="dcterms:W3CDTF">2025-12-21T14:32:53Z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0x010100CAB81DE5CE7BEC42897FF8D945727ED7</vt:lpwstr>
  </property>
</Properties>
</file>